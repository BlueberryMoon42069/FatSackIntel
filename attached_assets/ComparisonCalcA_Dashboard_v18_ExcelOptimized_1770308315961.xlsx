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ebextensions/webextension1.xml" ContentType="application/vnd.ms-office.webextension+xml"/>
  <Override PartName="/xl/webextensions/webextension2.xml" ContentType="application/vnd.ms-office.webextension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thaye\OneDrive\Documents\solarapp\"/>
    </mc:Choice>
  </mc:AlternateContent>
  <xr:revisionPtr revIDLastSave="0" documentId="8_{DBFDBB00-02D3-45B3-8E30-84937CC0F04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Yearly Pricing" sheetId="9" r:id="rId1"/>
    <sheet name="Dashboard" sheetId="5" r:id="rId2"/>
    <sheet name="Inputs" sheetId="2" r:id="rId3"/>
    <sheet name="Sheet3" sheetId="8" r:id="rId4"/>
    <sheet name="Presets" sheetId="3" r:id="rId5"/>
    <sheet name="Model" sheetId="4" r:id="rId6"/>
  </sheets>
  <externalReferences>
    <externalReference r:id="rId7"/>
  </externalReferences>
  <definedNames>
    <definedName name="ExternalData_1" localSheetId="0" hidden="1">'Yearly Pricing'!$A$1:$F$26</definedName>
    <definedName name="_xlnm.Print_Area" localSheetId="1">Dashboard!$A$1:$H$34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2" l="1"/>
  <c r="I24" i="2"/>
  <c r="I23" i="2"/>
  <c r="I22" i="2"/>
  <c r="I21" i="2"/>
  <c r="I20" i="2"/>
  <c r="I19" i="2"/>
  <c r="I18" i="2"/>
  <c r="I17" i="2"/>
  <c r="I16" i="2"/>
  <c r="I15" i="2"/>
  <c r="I14" i="2"/>
  <c r="K6" i="2"/>
  <c r="M41" i="5"/>
  <c r="L41" i="5"/>
  <c r="K41" i="5"/>
  <c r="M40" i="5"/>
  <c r="L40" i="5"/>
  <c r="K40" i="5"/>
  <c r="M39" i="5"/>
  <c r="L39" i="5"/>
  <c r="K39" i="5"/>
  <c r="M38" i="5"/>
  <c r="L38" i="5"/>
  <c r="K38" i="5"/>
  <c r="M37" i="5"/>
  <c r="L37" i="5"/>
  <c r="K37" i="5"/>
  <c r="C27" i="5"/>
  <c r="D12" i="5" s="1"/>
  <c r="E10" i="2"/>
  <c r="B65" i="5" s="1"/>
  <c r="AB40" i="5" l="1"/>
  <c r="AB41" i="5" s="1"/>
  <c r="AB42" i="5" l="1"/>
  <c r="B67" i="5"/>
  <c r="AB43" i="5" l="1"/>
  <c r="AB44" i="5" l="1"/>
  <c r="AB45" i="5" l="1"/>
  <c r="AB46" i="5" l="1"/>
  <c r="AB47" i="5" l="1"/>
  <c r="AB48" i="5" l="1"/>
  <c r="AB49" i="5" l="1"/>
  <c r="AB50" i="5" l="1"/>
  <c r="AB51" i="5" l="1"/>
  <c r="AB52" i="5" l="1"/>
  <c r="AB53" i="5" l="1"/>
  <c r="AB54" i="5" l="1"/>
  <c r="AB55" i="5" l="1"/>
  <c r="AB56" i="5" l="1"/>
  <c r="AB57" i="5" l="1"/>
  <c r="AB58" i="5" l="1"/>
  <c r="AB59" i="5" l="1"/>
  <c r="AB60" i="5" l="1"/>
  <c r="AB61" i="5" l="1"/>
  <c r="AB62" i="5" l="1"/>
  <c r="AB63" i="5" l="1"/>
  <c r="K7" i="2" l="1"/>
  <c r="E13" i="2"/>
  <c r="F26" i="5" s="1"/>
  <c r="K10" i="2"/>
  <c r="C7" i="2" s="1"/>
  <c r="E7" i="2" s="1"/>
  <c r="E14" i="2"/>
  <c r="E12" i="2"/>
  <c r="E11" i="2"/>
  <c r="C9" i="2"/>
  <c r="E9" i="2" s="1"/>
  <c r="G7" i="4" s="1"/>
  <c r="C8" i="2"/>
  <c r="E8" i="2" s="1"/>
  <c r="U13" i="5" l="1"/>
  <c r="C65" i="5"/>
  <c r="C19" i="4"/>
  <c r="C21" i="4"/>
  <c r="C6" i="4"/>
  <c r="C24" i="4"/>
  <c r="C25" i="4"/>
  <c r="C11" i="4"/>
  <c r="C13" i="4"/>
  <c r="C17" i="4"/>
  <c r="C4" i="4"/>
  <c r="C20" i="4"/>
  <c r="C22" i="4"/>
  <c r="C8" i="4"/>
  <c r="C9" i="4"/>
  <c r="C27" i="4"/>
  <c r="C28" i="4"/>
  <c r="C16" i="4"/>
  <c r="C5" i="4"/>
  <c r="C10" i="4"/>
  <c r="C14" i="4"/>
  <c r="C18" i="4"/>
  <c r="C7" i="4"/>
  <c r="C23" i="4"/>
  <c r="C26" i="4"/>
  <c r="C12" i="4"/>
  <c r="C15" i="4"/>
  <c r="G21" i="4"/>
  <c r="G27" i="4"/>
  <c r="G28" i="4"/>
  <c r="G5" i="4"/>
  <c r="G17" i="4"/>
  <c r="G6" i="4"/>
  <c r="G22" i="4"/>
  <c r="G23" i="4"/>
  <c r="G10" i="4"/>
  <c r="G11" i="4"/>
  <c r="G12" i="4"/>
  <c r="G18" i="4"/>
  <c r="G20" i="4"/>
  <c r="G8" i="4"/>
  <c r="G24" i="4"/>
  <c r="G9" i="4"/>
  <c r="G25" i="4"/>
  <c r="G26" i="4"/>
  <c r="G19" i="4"/>
  <c r="G13" i="4"/>
  <c r="G14" i="4"/>
  <c r="G4" i="4"/>
  <c r="G16" i="4"/>
  <c r="G15" i="4"/>
  <c r="B5" i="3"/>
  <c r="C6" i="2" s="1"/>
  <c r="E6" i="2" s="1"/>
  <c r="B26" i="4" s="1"/>
  <c r="E26" i="4" l="1"/>
  <c r="B20" i="4"/>
  <c r="E20" i="4" s="1"/>
  <c r="B28" i="4"/>
  <c r="E28" i="4" s="1"/>
  <c r="B11" i="4"/>
  <c r="E11" i="4" s="1"/>
  <c r="B21" i="4"/>
  <c r="E21" i="4" s="1"/>
  <c r="D26" i="4"/>
  <c r="B12" i="4"/>
  <c r="E12" i="4" s="1"/>
  <c r="B4" i="4"/>
  <c r="B10" i="4"/>
  <c r="E10" i="4" s="1"/>
  <c r="B18" i="4"/>
  <c r="E18" i="4" s="1"/>
  <c r="B15" i="4"/>
  <c r="E15" i="4" s="1"/>
  <c r="B25" i="4"/>
  <c r="E25" i="4" s="1"/>
  <c r="B9" i="4"/>
  <c r="E9" i="4" s="1"/>
  <c r="B22" i="4"/>
  <c r="E22" i="4" s="1"/>
  <c r="B6" i="4"/>
  <c r="E6" i="4" s="1"/>
  <c r="B19" i="4"/>
  <c r="E19" i="4" s="1"/>
  <c r="B16" i="4"/>
  <c r="E16" i="4" s="1"/>
  <c r="L23" i="5" s="1"/>
  <c r="B13" i="4"/>
  <c r="E13" i="4" s="1"/>
  <c r="B14" i="4"/>
  <c r="E14" i="4" s="1"/>
  <c r="B8" i="4"/>
  <c r="E8" i="4" s="1"/>
  <c r="B17" i="4"/>
  <c r="E17" i="4" s="1"/>
  <c r="B24" i="4"/>
  <c r="E24" i="4" s="1"/>
  <c r="D28" i="4"/>
  <c r="B5" i="4"/>
  <c r="E5" i="4" s="1"/>
  <c r="B7" i="4"/>
  <c r="E7" i="4" s="1"/>
  <c r="B27" i="4"/>
  <c r="E27" i="4" s="1"/>
  <c r="B23" i="4"/>
  <c r="E23" i="4" s="1"/>
  <c r="P28" i="4" l="1"/>
  <c r="O36" i="5" s="1"/>
  <c r="AC63" i="5"/>
  <c r="O28" i="4"/>
  <c r="O26" i="4"/>
  <c r="AC61" i="5"/>
  <c r="E4" i="4"/>
  <c r="N4" i="4" s="1"/>
  <c r="P26" i="4"/>
  <c r="O34" i="5" s="1"/>
  <c r="N17" i="4"/>
  <c r="N22" i="4"/>
  <c r="N10" i="4"/>
  <c r="N15" i="4"/>
  <c r="N7" i="4"/>
  <c r="N8" i="4"/>
  <c r="N11" i="4"/>
  <c r="N13" i="4"/>
  <c r="N28" i="4"/>
  <c r="Q28" i="4" s="1"/>
  <c r="N6" i="4"/>
  <c r="N25" i="4"/>
  <c r="N27" i="4"/>
  <c r="N5" i="4"/>
  <c r="N12" i="4"/>
  <c r="N21" i="4"/>
  <c r="N16" i="4"/>
  <c r="N20" i="4"/>
  <c r="N9" i="4"/>
  <c r="N23" i="4"/>
  <c r="N18" i="4"/>
  <c r="N24" i="4"/>
  <c r="N14" i="4"/>
  <c r="N19" i="4"/>
  <c r="N26" i="4"/>
  <c r="L26" i="5"/>
  <c r="M18" i="4"/>
  <c r="M12" i="4"/>
  <c r="L19" i="5"/>
  <c r="L31" i="5"/>
  <c r="M23" i="4"/>
  <c r="M17" i="4"/>
  <c r="L25" i="5"/>
  <c r="L16" i="5"/>
  <c r="M9" i="4"/>
  <c r="M13" i="4"/>
  <c r="L20" i="5"/>
  <c r="M22" i="4"/>
  <c r="L30" i="5"/>
  <c r="M15" i="4"/>
  <c r="L22" i="5"/>
  <c r="M7" i="4"/>
  <c r="L14" i="5"/>
  <c r="K36" i="5"/>
  <c r="K34" i="5"/>
  <c r="M21" i="4"/>
  <c r="L29" i="5"/>
  <c r="M14" i="4"/>
  <c r="L21" i="5"/>
  <c r="L24" i="5"/>
  <c r="M16" i="4"/>
  <c r="M20" i="4"/>
  <c r="L28" i="5"/>
  <c r="M6" i="4"/>
  <c r="L13" i="5"/>
  <c r="L33" i="5"/>
  <c r="M25" i="4"/>
  <c r="M27" i="4"/>
  <c r="L35" i="5"/>
  <c r="L17" i="5"/>
  <c r="M10" i="4"/>
  <c r="L12" i="5"/>
  <c r="M5" i="4"/>
  <c r="L32" i="5"/>
  <c r="M24" i="4"/>
  <c r="M8" i="4"/>
  <c r="L15" i="5"/>
  <c r="C23" i="5" s="1"/>
  <c r="M11" i="4"/>
  <c r="L18" i="5"/>
  <c r="M28" i="4"/>
  <c r="L36" i="5"/>
  <c r="M19" i="4"/>
  <c r="L27" i="5"/>
  <c r="M26" i="4"/>
  <c r="L34" i="5"/>
  <c r="I19" i="4"/>
  <c r="H28" i="4"/>
  <c r="H26" i="4"/>
  <c r="I28" i="4"/>
  <c r="I21" i="4"/>
  <c r="I26" i="4"/>
  <c r="I11" i="4"/>
  <c r="I20" i="4"/>
  <c r="D20" i="4"/>
  <c r="D21" i="4"/>
  <c r="D11" i="4"/>
  <c r="D19" i="4"/>
  <c r="D15" i="4"/>
  <c r="D6" i="4"/>
  <c r="D7" i="4"/>
  <c r="D18" i="4"/>
  <c r="D16" i="4"/>
  <c r="K23" i="5" s="1"/>
  <c r="D24" i="4"/>
  <c r="D5" i="4"/>
  <c r="D22" i="4"/>
  <c r="D25" i="4"/>
  <c r="D8" i="4"/>
  <c r="D14" i="4"/>
  <c r="D17" i="4"/>
  <c r="F28" i="4"/>
  <c r="M36" i="5" s="1"/>
  <c r="D10" i="4"/>
  <c r="D12" i="4"/>
  <c r="F26" i="4"/>
  <c r="M34" i="5" s="1"/>
  <c r="D27" i="4"/>
  <c r="D4" i="4"/>
  <c r="D9" i="4"/>
  <c r="D23" i="4"/>
  <c r="D13" i="4"/>
  <c r="Q26" i="4" l="1"/>
  <c r="C5" i="5"/>
  <c r="I4" i="4"/>
  <c r="E32" i="4"/>
  <c r="L11" i="5"/>
  <c r="E30" i="4"/>
  <c r="M4" i="4"/>
  <c r="M32" i="4" s="1"/>
  <c r="P4" i="4"/>
  <c r="O11" i="5" s="1"/>
  <c r="AC39" i="5"/>
  <c r="O4" i="4"/>
  <c r="Q4" i="4" s="1"/>
  <c r="P15" i="4"/>
  <c r="O22" i="5" s="1"/>
  <c r="AC50" i="5"/>
  <c r="O15" i="4"/>
  <c r="Q15" i="4" s="1"/>
  <c r="P23" i="4"/>
  <c r="O31" i="5" s="1"/>
  <c r="O23" i="4"/>
  <c r="Q23" i="4" s="1"/>
  <c r="AC58" i="5"/>
  <c r="P19" i="4"/>
  <c r="O27" i="5" s="1"/>
  <c r="AC54" i="5"/>
  <c r="O19" i="4"/>
  <c r="Q19" i="4" s="1"/>
  <c r="P16" i="4"/>
  <c r="AC51" i="5"/>
  <c r="O16" i="4"/>
  <c r="Q16" i="4" s="1"/>
  <c r="P18" i="4"/>
  <c r="O26" i="5" s="1"/>
  <c r="AC53" i="5"/>
  <c r="O18" i="4"/>
  <c r="Q18" i="4" s="1"/>
  <c r="P6" i="4"/>
  <c r="O13" i="5" s="1"/>
  <c r="O6" i="4"/>
  <c r="Q6" i="4" s="1"/>
  <c r="AC41" i="5"/>
  <c r="P12" i="4"/>
  <c r="O19" i="5" s="1"/>
  <c r="AC47" i="5"/>
  <c r="O12" i="4"/>
  <c r="Q12" i="4" s="1"/>
  <c r="P11" i="4"/>
  <c r="O18" i="5" s="1"/>
  <c r="AC46" i="5"/>
  <c r="O11" i="4"/>
  <c r="Q11" i="4" s="1"/>
  <c r="P10" i="4"/>
  <c r="O17" i="5" s="1"/>
  <c r="O10" i="4"/>
  <c r="AC45" i="5"/>
  <c r="P14" i="4"/>
  <c r="O21" i="5" s="1"/>
  <c r="O14" i="4"/>
  <c r="Q14" i="4" s="1"/>
  <c r="AC49" i="5"/>
  <c r="T13" i="5"/>
  <c r="P21" i="4"/>
  <c r="O29" i="5" s="1"/>
  <c r="O21" i="4"/>
  <c r="Q21" i="4" s="1"/>
  <c r="AC56" i="5"/>
  <c r="P20" i="4"/>
  <c r="O28" i="5" s="1"/>
  <c r="O20" i="4"/>
  <c r="Q20" i="4" s="1"/>
  <c r="AC55" i="5"/>
  <c r="P22" i="4"/>
  <c r="O30" i="5" s="1"/>
  <c r="O22" i="4"/>
  <c r="Q22" i="4" s="1"/>
  <c r="AC57" i="5"/>
  <c r="P9" i="4"/>
  <c r="O16" i="5" s="1"/>
  <c r="O9" i="4"/>
  <c r="Q9" i="4" s="1"/>
  <c r="AC44" i="5"/>
  <c r="P27" i="4"/>
  <c r="O35" i="5" s="1"/>
  <c r="O27" i="4"/>
  <c r="Q27" i="4" s="1"/>
  <c r="AC62" i="5"/>
  <c r="P17" i="4"/>
  <c r="O25" i="5" s="1"/>
  <c r="AC52" i="5"/>
  <c r="O17" i="4"/>
  <c r="Q17" i="4" s="1"/>
  <c r="P8" i="4"/>
  <c r="O15" i="5" s="1"/>
  <c r="O8" i="4"/>
  <c r="Q8" i="4" s="1"/>
  <c r="AC43" i="5"/>
  <c r="C22" i="5"/>
  <c r="S14" i="5"/>
  <c r="AD61" i="5"/>
  <c r="AI61" i="5" s="1"/>
  <c r="AD63" i="5"/>
  <c r="AG63" i="5" s="1"/>
  <c r="P13" i="4"/>
  <c r="O20" i="5" s="1"/>
  <c r="O13" i="4"/>
  <c r="Q13" i="4" s="1"/>
  <c r="AC48" i="5"/>
  <c r="S15" i="5"/>
  <c r="P7" i="4"/>
  <c r="O14" i="5" s="1"/>
  <c r="O7" i="4"/>
  <c r="Q7" i="4" s="1"/>
  <c r="AC42" i="5"/>
  <c r="P25" i="4"/>
  <c r="O33" i="5" s="1"/>
  <c r="AC60" i="5"/>
  <c r="O25" i="4"/>
  <c r="Q25" i="4" s="1"/>
  <c r="P5" i="4"/>
  <c r="O12" i="5" s="1"/>
  <c r="O5" i="4"/>
  <c r="Q5" i="4" s="1"/>
  <c r="AC40" i="5"/>
  <c r="P24" i="4"/>
  <c r="O32" i="5" s="1"/>
  <c r="O24" i="4"/>
  <c r="Q24" i="4" s="1"/>
  <c r="AC59" i="5"/>
  <c r="Q10" i="4"/>
  <c r="K15" i="5"/>
  <c r="K33" i="5"/>
  <c r="K27" i="5"/>
  <c r="K12" i="5"/>
  <c r="K20" i="5"/>
  <c r="K35" i="5"/>
  <c r="K19" i="5"/>
  <c r="K18" i="5"/>
  <c r="K30" i="5"/>
  <c r="K22" i="5"/>
  <c r="K32" i="5"/>
  <c r="K17" i="5"/>
  <c r="K29" i="5"/>
  <c r="K28" i="5"/>
  <c r="K24" i="5"/>
  <c r="K31" i="5"/>
  <c r="K26" i="5"/>
  <c r="K16" i="5"/>
  <c r="K14" i="5"/>
  <c r="K13" i="5"/>
  <c r="K11" i="5"/>
  <c r="D32" i="4"/>
  <c r="D30" i="4"/>
  <c r="K25" i="5"/>
  <c r="K21" i="5"/>
  <c r="I5" i="4"/>
  <c r="K26" i="4"/>
  <c r="K28" i="4"/>
  <c r="H17" i="4"/>
  <c r="H16" i="4"/>
  <c r="H27" i="4"/>
  <c r="H12" i="4"/>
  <c r="H15" i="4"/>
  <c r="H22" i="4"/>
  <c r="H23" i="4"/>
  <c r="H18" i="4"/>
  <c r="H19" i="4"/>
  <c r="K19" i="4" s="1"/>
  <c r="H6" i="4"/>
  <c r="H25" i="4"/>
  <c r="H13" i="4"/>
  <c r="H14" i="4"/>
  <c r="H7" i="4"/>
  <c r="H8" i="4"/>
  <c r="H5" i="4"/>
  <c r="F11" i="4"/>
  <c r="M18" i="5" s="1"/>
  <c r="H11" i="4"/>
  <c r="K11" i="4" s="1"/>
  <c r="H24" i="4"/>
  <c r="H21" i="4"/>
  <c r="K21" i="4" s="1"/>
  <c r="H9" i="4"/>
  <c r="A5" i="5"/>
  <c r="C20" i="5" s="1"/>
  <c r="H4" i="4"/>
  <c r="H10" i="4"/>
  <c r="F20" i="4"/>
  <c r="M28" i="5" s="1"/>
  <c r="H20" i="4"/>
  <c r="K20" i="4" s="1"/>
  <c r="I10" i="4"/>
  <c r="I12" i="4"/>
  <c r="I18" i="4"/>
  <c r="I17" i="4"/>
  <c r="I24" i="4"/>
  <c r="I23" i="4"/>
  <c r="I16" i="4"/>
  <c r="I9" i="4"/>
  <c r="I14" i="4"/>
  <c r="I25" i="4"/>
  <c r="I22" i="4"/>
  <c r="I13" i="4"/>
  <c r="I7" i="4"/>
  <c r="I8" i="4"/>
  <c r="I15" i="4"/>
  <c r="I27" i="4"/>
  <c r="I6" i="4"/>
  <c r="F21" i="4"/>
  <c r="M29" i="5" s="1"/>
  <c r="J4" i="4"/>
  <c r="N11" i="5" s="1"/>
  <c r="F4" i="4"/>
  <c r="E5" i="5" s="1"/>
  <c r="F17" i="4"/>
  <c r="M25" i="5" s="1"/>
  <c r="F14" i="4"/>
  <c r="M21" i="5" s="1"/>
  <c r="F25" i="4"/>
  <c r="M33" i="5" s="1"/>
  <c r="F7" i="4"/>
  <c r="M14" i="5" s="1"/>
  <c r="F24" i="4"/>
  <c r="M32" i="5" s="1"/>
  <c r="F8" i="4"/>
  <c r="F13" i="4"/>
  <c r="M20" i="5" s="1"/>
  <c r="F22" i="4"/>
  <c r="M30" i="5" s="1"/>
  <c r="F6" i="4"/>
  <c r="M13" i="5" s="1"/>
  <c r="F27" i="4"/>
  <c r="M35" i="5" s="1"/>
  <c r="F12" i="4"/>
  <c r="M19" i="5" s="1"/>
  <c r="F15" i="4"/>
  <c r="M22" i="5" s="1"/>
  <c r="F16" i="4"/>
  <c r="F18" i="4"/>
  <c r="M26" i="5" s="1"/>
  <c r="F10" i="4"/>
  <c r="M17" i="5" s="1"/>
  <c r="F9" i="4"/>
  <c r="M16" i="5" s="1"/>
  <c r="F5" i="4"/>
  <c r="M12" i="5" s="1"/>
  <c r="F19" i="4"/>
  <c r="M27" i="5" s="1"/>
  <c r="F23" i="4"/>
  <c r="M31" i="5" s="1"/>
  <c r="M24" i="5" l="1"/>
  <c r="M23" i="5"/>
  <c r="O24" i="5"/>
  <c r="O23" i="5"/>
  <c r="C21" i="5"/>
  <c r="E12" i="5"/>
  <c r="AE63" i="5"/>
  <c r="AE61" i="5"/>
  <c r="AG61" i="5"/>
  <c r="AD60" i="5"/>
  <c r="AE60" i="5" s="1"/>
  <c r="AD41" i="5"/>
  <c r="AI41" i="5" s="1"/>
  <c r="AD54" i="5"/>
  <c r="AE54" i="5" s="1"/>
  <c r="AD44" i="5"/>
  <c r="AG44" i="5" s="1"/>
  <c r="AD46" i="5"/>
  <c r="AE46" i="5" s="1"/>
  <c r="AD47" i="5"/>
  <c r="AG47" i="5" s="1"/>
  <c r="AD59" i="5"/>
  <c r="AI59" i="5" s="1"/>
  <c r="AD43" i="5"/>
  <c r="AG43" i="5" s="1"/>
  <c r="AD57" i="5"/>
  <c r="AG57" i="5" s="1"/>
  <c r="AD50" i="5"/>
  <c r="AI50" i="5" s="1"/>
  <c r="AD56" i="5"/>
  <c r="AG56" i="5" s="1"/>
  <c r="AD51" i="5"/>
  <c r="AI51" i="5" s="1"/>
  <c r="AD39" i="5"/>
  <c r="AI39" i="5" s="1"/>
  <c r="AJ39" i="5" s="1"/>
  <c r="AD42" i="5"/>
  <c r="AE42" i="5" s="1"/>
  <c r="AD58" i="5"/>
  <c r="AG58" i="5" s="1"/>
  <c r="AD48" i="5"/>
  <c r="AG48" i="5" s="1"/>
  <c r="AD40" i="5"/>
  <c r="AI40" i="5" s="1"/>
  <c r="AI63" i="5"/>
  <c r="AD52" i="5"/>
  <c r="AE52" i="5" s="1"/>
  <c r="AD45" i="5"/>
  <c r="AE45" i="5" s="1"/>
  <c r="AD62" i="5"/>
  <c r="AI62" i="5" s="1"/>
  <c r="AD49" i="5"/>
  <c r="AG49" i="5" s="1"/>
  <c r="AD53" i="5"/>
  <c r="AE53" i="5" s="1"/>
  <c r="AD55" i="5"/>
  <c r="AG55" i="5" s="1"/>
  <c r="M15" i="5"/>
  <c r="C25" i="5"/>
  <c r="K5" i="4"/>
  <c r="N32" i="4"/>
  <c r="I30" i="4"/>
  <c r="I32" i="4"/>
  <c r="K16" i="4"/>
  <c r="K17" i="4"/>
  <c r="F30" i="4"/>
  <c r="F10" i="5"/>
  <c r="M11" i="5"/>
  <c r="F32" i="4"/>
  <c r="K14" i="4"/>
  <c r="K4" i="4"/>
  <c r="L4" i="4" s="1"/>
  <c r="H32" i="4"/>
  <c r="H30" i="4"/>
  <c r="K10" i="4"/>
  <c r="K22" i="4"/>
  <c r="K24" i="4"/>
  <c r="K12" i="4"/>
  <c r="K15" i="4"/>
  <c r="K6" i="4"/>
  <c r="K25" i="4"/>
  <c r="K7" i="4"/>
  <c r="K13" i="4"/>
  <c r="K8" i="4"/>
  <c r="K18" i="4"/>
  <c r="K23" i="4"/>
  <c r="K9" i="4"/>
  <c r="K27" i="4"/>
  <c r="J5" i="4"/>
  <c r="AI54" i="5" l="1"/>
  <c r="AE39" i="5"/>
  <c r="AF39" i="5" s="1"/>
  <c r="AK39" i="5" s="1"/>
  <c r="AE47" i="5"/>
  <c r="AE44" i="5"/>
  <c r="AI44" i="5"/>
  <c r="AI52" i="5"/>
  <c r="AG52" i="5"/>
  <c r="AE50" i="5"/>
  <c r="AE62" i="5"/>
  <c r="AG50" i="5"/>
  <c r="AI47" i="5"/>
  <c r="AI46" i="5"/>
  <c r="AG62" i="5"/>
  <c r="AE58" i="5"/>
  <c r="AG59" i="5"/>
  <c r="AI49" i="5"/>
  <c r="AE51" i="5"/>
  <c r="AE56" i="5"/>
  <c r="AG60" i="5"/>
  <c r="AG53" i="5"/>
  <c r="AI58" i="5"/>
  <c r="AI53" i="5"/>
  <c r="AG45" i="5"/>
  <c r="AI42" i="5"/>
  <c r="AE57" i="5"/>
  <c r="AE43" i="5"/>
  <c r="AI43" i="5"/>
  <c r="AG51" i="5"/>
  <c r="AG54" i="5"/>
  <c r="AE59" i="5"/>
  <c r="AI48" i="5"/>
  <c r="AE49" i="5"/>
  <c r="AE48" i="5"/>
  <c r="AI56" i="5"/>
  <c r="AE41" i="5"/>
  <c r="AG41" i="5"/>
  <c r="AI60" i="5"/>
  <c r="AI45" i="5"/>
  <c r="AG46" i="5"/>
  <c r="AG42" i="5"/>
  <c r="AI57" i="5"/>
  <c r="AE55" i="5"/>
  <c r="AI55" i="5"/>
  <c r="AG40" i="5"/>
  <c r="AE40" i="5"/>
  <c r="AG39" i="5"/>
  <c r="AH39" i="5" s="1"/>
  <c r="AJ40" i="5"/>
  <c r="AM39" i="5"/>
  <c r="J6" i="4"/>
  <c r="N12" i="5"/>
  <c r="L5" i="4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K30" i="4"/>
  <c r="U10" i="5"/>
  <c r="U11" i="5" s="1"/>
  <c r="F13" i="5" s="1"/>
  <c r="K32" i="4"/>
  <c r="AF40" i="5" l="1"/>
  <c r="AF41" i="5" s="1"/>
  <c r="AK40" i="5"/>
  <c r="AM40" i="5"/>
  <c r="AJ41" i="5"/>
  <c r="AH40" i="5"/>
  <c r="AL39" i="5"/>
  <c r="J7" i="4"/>
  <c r="N13" i="5"/>
  <c r="L32" i="4"/>
  <c r="AL40" i="5" l="1"/>
  <c r="AH41" i="5"/>
  <c r="AM41" i="5"/>
  <c r="AJ42" i="5"/>
  <c r="AF42" i="5"/>
  <c r="AK41" i="5"/>
  <c r="N14" i="5"/>
  <c r="J8" i="4"/>
  <c r="AJ43" i="5" l="1"/>
  <c r="AM42" i="5"/>
  <c r="AF43" i="5"/>
  <c r="AK42" i="5"/>
  <c r="AL41" i="5"/>
  <c r="AH42" i="5"/>
  <c r="J9" i="4"/>
  <c r="N15" i="5"/>
  <c r="AH43" i="5" l="1"/>
  <c r="AL42" i="5"/>
  <c r="AF44" i="5"/>
  <c r="B70" i="5"/>
  <c r="AK43" i="5"/>
  <c r="D70" i="5"/>
  <c r="AM43" i="5"/>
  <c r="AJ44" i="5"/>
  <c r="N16" i="5"/>
  <c r="J10" i="4"/>
  <c r="AM44" i="5" l="1"/>
  <c r="AJ45" i="5"/>
  <c r="AF45" i="5"/>
  <c r="AK44" i="5"/>
  <c r="C70" i="5"/>
  <c r="AH44" i="5"/>
  <c r="AL43" i="5"/>
  <c r="J11" i="4"/>
  <c r="N17" i="5"/>
  <c r="AL44" i="5" l="1"/>
  <c r="AH45" i="5"/>
  <c r="AK45" i="5"/>
  <c r="AF46" i="5"/>
  <c r="AJ46" i="5"/>
  <c r="AM45" i="5"/>
  <c r="J12" i="4"/>
  <c r="N18" i="5"/>
  <c r="AK46" i="5" l="1"/>
  <c r="AF47" i="5"/>
  <c r="AH46" i="5"/>
  <c r="AL45" i="5"/>
  <c r="AJ47" i="5"/>
  <c r="AM46" i="5"/>
  <c r="J13" i="4"/>
  <c r="N19" i="5"/>
  <c r="AM47" i="5" l="1"/>
  <c r="AJ48" i="5"/>
  <c r="AL46" i="5"/>
  <c r="AH47" i="5"/>
  <c r="AK47" i="5"/>
  <c r="AF48" i="5"/>
  <c r="J14" i="4"/>
  <c r="N20" i="5"/>
  <c r="B71" i="5" l="1"/>
  <c r="AF49" i="5"/>
  <c r="G39" i="5"/>
  <c r="AK48" i="5"/>
  <c r="AL47" i="5"/>
  <c r="AH48" i="5"/>
  <c r="AM48" i="5"/>
  <c r="AJ49" i="5"/>
  <c r="D71" i="5"/>
  <c r="G41" i="5"/>
  <c r="J15" i="4"/>
  <c r="N21" i="5"/>
  <c r="AM49" i="5" l="1"/>
  <c r="AJ50" i="5"/>
  <c r="G40" i="5"/>
  <c r="AH49" i="5"/>
  <c r="AL48" i="5"/>
  <c r="C71" i="5"/>
  <c r="AF50" i="5"/>
  <c r="AK49" i="5"/>
  <c r="J16" i="4"/>
  <c r="N23" i="5" s="1"/>
  <c r="N22" i="5"/>
  <c r="AL49" i="5" l="1"/>
  <c r="AH50" i="5"/>
  <c r="AK50" i="5"/>
  <c r="AF51" i="5"/>
  <c r="AJ51" i="5"/>
  <c r="AM50" i="5"/>
  <c r="J17" i="4"/>
  <c r="N24" i="5"/>
  <c r="AF52" i="5" l="1"/>
  <c r="AK51" i="5"/>
  <c r="AM51" i="5"/>
  <c r="AJ52" i="5"/>
  <c r="AH51" i="5"/>
  <c r="AL50" i="5"/>
  <c r="J18" i="4"/>
  <c r="N25" i="5"/>
  <c r="AL51" i="5" l="1"/>
  <c r="AH52" i="5"/>
  <c r="AM52" i="5"/>
  <c r="AJ53" i="5"/>
  <c r="AF53" i="5"/>
  <c r="AK52" i="5"/>
  <c r="J19" i="4"/>
  <c r="N26" i="5"/>
  <c r="B72" i="5" l="1"/>
  <c r="AF54" i="5"/>
  <c r="AK53" i="5"/>
  <c r="AL52" i="5"/>
  <c r="AH53" i="5"/>
  <c r="AM53" i="5"/>
  <c r="AJ54" i="5"/>
  <c r="D72" i="5"/>
  <c r="J20" i="4"/>
  <c r="N27" i="5"/>
  <c r="AJ55" i="5" l="1"/>
  <c r="AM54" i="5"/>
  <c r="AF55" i="5"/>
  <c r="AK54" i="5"/>
  <c r="AL53" i="5"/>
  <c r="C72" i="5"/>
  <c r="AH54" i="5"/>
  <c r="J21" i="4"/>
  <c r="N28" i="5"/>
  <c r="AL54" i="5" l="1"/>
  <c r="AH55" i="5"/>
  <c r="AK55" i="5"/>
  <c r="AF56" i="5"/>
  <c r="AJ56" i="5"/>
  <c r="AM55" i="5"/>
  <c r="J22" i="4"/>
  <c r="N29" i="5"/>
  <c r="AH56" i="5" l="1"/>
  <c r="AL55" i="5"/>
  <c r="AM56" i="5"/>
  <c r="AJ57" i="5"/>
  <c r="AK56" i="5"/>
  <c r="AF57" i="5"/>
  <c r="J23" i="4"/>
  <c r="N30" i="5"/>
  <c r="AM57" i="5" l="1"/>
  <c r="AJ58" i="5"/>
  <c r="AK57" i="5"/>
  <c r="AF58" i="5"/>
  <c r="AL56" i="5"/>
  <c r="AH57" i="5"/>
  <c r="J24" i="4"/>
  <c r="N31" i="5"/>
  <c r="D73" i="5" l="1"/>
  <c r="AM58" i="5"/>
  <c r="AJ59" i="5"/>
  <c r="AH58" i="5"/>
  <c r="AL57" i="5"/>
  <c r="B73" i="5"/>
  <c r="AF59" i="5"/>
  <c r="AK58" i="5"/>
  <c r="J25" i="4"/>
  <c r="N32" i="5"/>
  <c r="AK59" i="5" l="1"/>
  <c r="AF60" i="5"/>
  <c r="C73" i="5"/>
  <c r="AL58" i="5"/>
  <c r="AH59" i="5"/>
  <c r="AM59" i="5"/>
  <c r="AJ60" i="5"/>
  <c r="J26" i="4"/>
  <c r="N33" i="5"/>
  <c r="AM60" i="5" l="1"/>
  <c r="AJ61" i="5"/>
  <c r="AL59" i="5"/>
  <c r="AH60" i="5"/>
  <c r="AF61" i="5"/>
  <c r="AK60" i="5"/>
  <c r="J27" i="4"/>
  <c r="N34" i="5"/>
  <c r="AF62" i="5" l="1"/>
  <c r="AK61" i="5"/>
  <c r="AL60" i="5"/>
  <c r="AH61" i="5"/>
  <c r="AM61" i="5"/>
  <c r="AJ62" i="5"/>
  <c r="J28" i="4"/>
  <c r="N35" i="5"/>
  <c r="AJ63" i="5" l="1"/>
  <c r="AM62" i="5"/>
  <c r="AL61" i="5"/>
  <c r="AH62" i="5"/>
  <c r="AF63" i="5"/>
  <c r="AK62" i="5"/>
  <c r="G5" i="5"/>
  <c r="U14" i="5" s="1"/>
  <c r="N36" i="5"/>
  <c r="F23" i="5" s="1"/>
  <c r="AK63" i="5" l="1"/>
  <c r="F39" i="5" s="1"/>
  <c r="B74" i="5"/>
  <c r="H39" i="5"/>
  <c r="AL62" i="5"/>
  <c r="AH63" i="5"/>
  <c r="D74" i="5"/>
  <c r="AM63" i="5"/>
  <c r="F41" i="5" s="1"/>
  <c r="H41" i="5"/>
  <c r="A31" i="5"/>
  <c r="V11" i="5"/>
  <c r="V12" i="5"/>
  <c r="AL63" i="5" l="1"/>
  <c r="F40" i="5" s="1"/>
  <c r="H40" i="5"/>
  <c r="C74" i="5"/>
  <c r="K9" i="2"/>
  <c r="K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5" authorId="0" shapeId="0" xr:uid="{00000000-0006-0000-0100-000001000000}">
      <text>
        <r>
          <rPr>
            <sz val="11"/>
            <color theme="1"/>
            <rFont val="Arial"/>
            <family val="2"/>
            <scheme val="minor"/>
          </rPr>
          <t>Enter customer name</t>
        </r>
      </text>
    </comment>
    <comment ref="C6" authorId="0" shapeId="0" xr:uid="{00000000-0006-0000-0100-000002000000}">
      <text>
        <r>
          <rPr>
            <sz val="11"/>
            <color theme="1"/>
            <rFont val="Arial"/>
            <family val="2"/>
            <scheme val="minor"/>
          </rPr>
          <t>DO NOT REPLACE VALUES IN THIS COLUMN, REPLACE IN CUSTOMER OVERRIDE</t>
        </r>
      </text>
    </comment>
    <comment ref="D6" authorId="0" shapeId="0" xr:uid="{00000000-0006-0000-0100-000003000000}">
      <text>
        <r>
          <rPr>
            <sz val="11"/>
            <color theme="1"/>
            <rFont val="Arial"/>
            <family val="2"/>
            <scheme val="minor"/>
          </rPr>
          <t>Enter $/kWh</t>
        </r>
      </text>
    </comment>
    <comment ref="D7" authorId="0" shapeId="0" xr:uid="{00000000-0006-0000-0100-000004000000}">
      <text>
        <r>
          <rPr>
            <sz val="11"/>
            <color theme="1"/>
            <rFont val="Arial"/>
            <family val="2"/>
            <scheme val="minor"/>
          </rPr>
          <t>Enter kWh</t>
        </r>
      </text>
    </comment>
    <comment ref="D8" authorId="0" shapeId="0" xr:uid="{00000000-0006-0000-0100-000005000000}">
      <text>
        <r>
          <rPr>
            <sz val="11"/>
            <color theme="1"/>
            <rFont val="Arial"/>
            <family val="2"/>
            <scheme val="minor"/>
          </rPr>
          <t>Enter %</t>
        </r>
      </text>
    </comment>
    <comment ref="D9" authorId="0" shapeId="0" xr:uid="{00000000-0006-0000-0100-000006000000}">
      <text>
        <r>
          <rPr>
            <sz val="11"/>
            <color theme="1"/>
            <rFont val="Arial"/>
            <family val="2"/>
            <scheme val="minor"/>
          </rPr>
          <t>Enter %</t>
        </r>
      </text>
    </comment>
    <comment ref="D10" authorId="0" shapeId="0" xr:uid="{00000000-0006-0000-0100-000007000000}">
      <text>
        <r>
          <rPr>
            <sz val="11"/>
            <color theme="1"/>
            <rFont val="Arial"/>
            <family val="2"/>
            <scheme val="minor"/>
          </rPr>
          <t>Enter $/mo</t>
        </r>
      </text>
    </comment>
    <comment ref="D11" authorId="0" shapeId="0" xr:uid="{00000000-0006-0000-0100-000008000000}">
      <text>
        <r>
          <rPr>
            <sz val="11"/>
            <color theme="1"/>
            <rFont val="Arial"/>
            <family val="2"/>
            <scheme val="minor"/>
          </rPr>
          <t>Enter %</t>
        </r>
      </text>
    </comment>
    <comment ref="D12" authorId="0" shapeId="0" xr:uid="{00000000-0006-0000-0100-000009000000}">
      <text>
        <r>
          <rPr>
            <sz val="11"/>
            <color theme="1"/>
            <rFont val="Arial"/>
            <family val="2"/>
            <scheme val="minor"/>
          </rPr>
          <t>25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B1D1E7-F8EB-44C3-857E-CCCEA84F1EE1}" keepAlive="1" name="Query - Yearly Pricing" description="Connection to the 'Yearly Pricing' query in the workbook." type="5" refreshedVersion="8" background="1" saveData="1">
    <dbPr connection="Provider=Microsoft.Mashup.OleDb.1;Data Source=$Workbook$;Location=&quot;Yearly Pricing&quot;;Extended Properties=&quot;&quot;" command="SELECT * FROM [Yearly Pricing]"/>
  </connection>
</connections>
</file>

<file path=xl/sharedStrings.xml><?xml version="1.0" encoding="utf-8"?>
<sst xmlns="http://schemas.openxmlformats.org/spreadsheetml/2006/main" count="219" uniqueCount="182">
  <si>
    <t>Monthly Advantage</t>
  </si>
  <si>
    <t>Total Advantage</t>
  </si>
  <si>
    <t>Break-even</t>
  </si>
  <si>
    <t>Year</t>
  </si>
  <si>
    <t>Gauge</t>
  </si>
  <si>
    <t>Decision Confidence</t>
  </si>
  <si>
    <t>Utility + Solar Model</t>
  </si>
  <si>
    <t>Input</t>
  </si>
  <si>
    <t>Preset</t>
  </si>
  <si>
    <t>Preset Value</t>
  </si>
  <si>
    <t>Customer Override</t>
  </si>
  <si>
    <t>Effective Value</t>
  </si>
  <si>
    <t>Customer Name</t>
  </si>
  <si>
    <t>Current Utility Bill</t>
  </si>
  <si>
    <t>Current Utility ($/kWh)</t>
  </si>
  <si>
    <t>Customer</t>
  </si>
  <si>
    <t>Avg. Monthly Usage (kWh)</t>
  </si>
  <si>
    <t>Amount Due</t>
  </si>
  <si>
    <t>Utility Annual Rate Increase (%/yr)</t>
  </si>
  <si>
    <t>CPI Inflation (%/yr)</t>
  </si>
  <si>
    <t>National 10yr avg</t>
  </si>
  <si>
    <t>Solar Monthly Payment ($/mo)</t>
  </si>
  <si>
    <t>Solar Annual Escalator (%/yr)</t>
  </si>
  <si>
    <t>2.99%(Prime Qual)</t>
  </si>
  <si>
    <t>Month</t>
  </si>
  <si>
    <t>Usage, Kwh</t>
  </si>
  <si>
    <t>Term (years)</t>
  </si>
  <si>
    <t>Jan</t>
  </si>
  <si>
    <t>Solar % Offset (of usage)</t>
  </si>
  <si>
    <t>Feb</t>
  </si>
  <si>
    <t>Rebates ($/yr)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</si>
  <si>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</si>
  <si>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</si>
  <si>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</si>
  <si>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</si>
  <si>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</si>
  <si>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</si>
  <si>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</si>
  <si>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</si>
  <si>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</si>
  <si>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</si>
  <si>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Presets (edit values here if you want to customize)</t>
  </si>
  <si>
    <t>Current Utility $/kWh presets</t>
  </si>
  <si>
    <t>Value ($/kWh)</t>
  </si>
  <si>
    <t>Source</t>
  </si>
  <si>
    <t>https://www.eia.gov/electricity/sales_revenue_price/</t>
  </si>
  <si>
    <t>New England (Residential avg)</t>
  </si>
  <si>
    <t>EIA Form EIA-861M (computed); 2024 aligns with EIA Table 5A (U.S. Energy Information Administration)</t>
  </si>
  <si>
    <t>Massachusetts (Residential avg)</t>
  </si>
  <si>
    <t>National Grid MA (Mass Electric Co)</t>
  </si>
  <si>
    <t>2024 utility avg from EIA Table 6 (U.S. Energy Information Administration); history proxy = MA statewide* (U.S. Energy Information Administration)</t>
  </si>
  <si>
    <t>Eversource (NSTAR Electric Co)</t>
  </si>
  <si>
    <t>Unitil (Fitchburg Gas &amp; Electric Light Co)</t>
  </si>
  <si>
    <t>Westborough, MA (served by National Grid basic service territory)</t>
  </si>
  <si>
    <t>Westborough listed in National Grid basic service territory ; price as Mass Electric Co 2024 avg (U.S. Energy Information Administration); history proxy = MA statewide* (U.S. Energy Information Administration)</t>
  </si>
  <si>
    <t>Clinton, MA (served by National Grid basic service territory)</t>
  </si>
  <si>
    <t>Clinton listed in National Grid basic service territory ; price as Mass Electric Co 2024 avg (U.S. Energy Information Administration); history proxy = MA statewide* (U.S. Energy Information Administration)</t>
  </si>
  <si>
    <t>Utility annual rate increase presets</t>
  </si>
  <si>
    <t>Value (%/yr)</t>
  </si>
  <si>
    <t>Last year, central MA average</t>
  </si>
  <si>
    <t>MA 5yr</t>
  </si>
  <si>
    <t>CAGR of MA residential price 2019→2024</t>
  </si>
  <si>
    <t>EIA Form EIA-861M (computed)</t>
  </si>
  <si>
    <t>MA 10yr</t>
  </si>
  <si>
    <t>CAGR 2014→2024</t>
  </si>
  <si>
    <t>MA 25yr</t>
  </si>
  <si>
    <t>CAGR 1999→2024</t>
  </si>
  <si>
    <t>NE 5yr</t>
  </si>
  <si>
    <t>CAGR 2019→2024</t>
  </si>
  <si>
    <t>NE 10yr</t>
  </si>
  <si>
    <t>National 5yr</t>
  </si>
  <si>
    <t>CAGR US residential 2019→2024</t>
  </si>
  <si>
    <t>CPI inflation presets</t>
  </si>
  <si>
    <t>https://fred.stlouisfed.org/series/CPIAUCSL</t>
  </si>
  <si>
    <t>Regional CPI series used (Boston area + Northeast) to estimate MA/NE CPI CAGRs</t>
  </si>
  <si>
    <t>National 5yr avg</t>
  </si>
  <si>
    <t>CPI level CAGR 2019→2024</t>
  </si>
  <si>
    <t>Minneapolis Fed CPI table</t>
  </si>
  <si>
    <t>CPI level CAGR 2014→2024</t>
  </si>
  <si>
    <t>Solar Annual Escalator</t>
  </si>
  <si>
    <t>Value(%/yr)</t>
  </si>
  <si>
    <t>Prime Qualification only available based on system performance and early adoptio</t>
  </si>
  <si>
    <t>Year-by-Year Model</t>
  </si>
  <si>
    <t>Utility Rate ($/kWh)</t>
  </si>
  <si>
    <t>Annual kWh</t>
  </si>
  <si>
    <t>Utility Cost ($)</t>
  </si>
  <si>
    <t>Cost w Solar ($)</t>
  </si>
  <si>
    <t>Savings Per Year ($)</t>
  </si>
  <si>
    <t>CPI</t>
  </si>
  <si>
    <t>Utility Cost(Inf. Adj.)</t>
  </si>
  <si>
    <t>Cumulative Savings</t>
  </si>
  <si>
    <t>Savings, Inf. Adj.</t>
  </si>
  <si>
    <t>Lifetime Savings, Inf. Adj. ($)</t>
  </si>
  <si>
    <t>Est Yearly Utility</t>
  </si>
  <si>
    <t>Est Monthly Avg Bill</t>
  </si>
  <si>
    <t>Effective $/Kwh</t>
  </si>
  <si>
    <t>Yearly Kwh</t>
  </si>
  <si>
    <t>Avg Monthly Kwh</t>
  </si>
  <si>
    <t>Est. Monthly Bill</t>
  </si>
  <si>
    <t>DO NOT ADJUST VALUES</t>
  </si>
  <si>
    <t>Energy Savings Dashboard</t>
  </si>
  <si>
    <t>Two options: keep riding utility rate hikes, or lock in predictability.</t>
  </si>
  <si>
    <t>Option A: Utility (variable)</t>
  </si>
  <si>
    <t>Option B: Solar (predictable)</t>
  </si>
  <si>
    <t>Monthly Cost Over Time</t>
  </si>
  <si>
    <t>Utility $/mo</t>
  </si>
  <si>
    <t>Solar $/mo</t>
  </si>
  <si>
    <t>Savings $/mo</t>
  </si>
  <si>
    <t>Simple rule</t>
  </si>
  <si>
    <t>Today utility rate</t>
  </si>
  <si>
    <t>Today vs 5 Years From Now</t>
  </si>
  <si>
    <t>Quick Compare</t>
  </si>
  <si>
    <t>Risk Snapshot</t>
  </si>
  <si>
    <t>✅ Predictable monthly cost</t>
  </si>
  <si>
    <t>✅ Hedge against rate hikes</t>
  </si>
  <si>
    <t>✅ Better budget planning</t>
  </si>
  <si>
    <t>Cumulative Savings (Total Kept)</t>
  </si>
  <si>
    <t>Monthly Savings (Year 5)</t>
  </si>
  <si>
    <t>Offset Breakdown</t>
  </si>
  <si>
    <t>Current effective $/kWh:</t>
  </si>
  <si>
    <t>Scenario Lab: Compare 3 solar payment + escalator options (5 to 25 years)</t>
  </si>
  <si>
    <t>Edit the scenarios below. The chart shows cumulative advantage vs Utility over time.</t>
  </si>
  <si>
    <t>Scenario</t>
  </si>
  <si>
    <t>Escalator %</t>
  </si>
  <si>
    <t>Notes</t>
  </si>
  <si>
    <t>Savings @ Year 10</t>
  </si>
  <si>
    <t>Savings @ Year 25</t>
  </si>
  <si>
    <t>UtilityAnnual</t>
  </si>
  <si>
    <t>ResidualAfterOffset</t>
  </si>
  <si>
    <t>S1_AnnSav</t>
  </si>
  <si>
    <t>S1_CumSav</t>
  </si>
  <si>
    <t>S2_AnnSav</t>
  </si>
  <si>
    <t>S2_CumSav</t>
  </si>
  <si>
    <t>S3_AnnSav</t>
  </si>
  <si>
    <t>S3_CumSav</t>
  </si>
  <si>
    <t>S1_Pos</t>
  </si>
  <si>
    <t>S2_Pos</t>
  </si>
  <si>
    <t>S3_Pos</t>
  </si>
  <si>
    <t>Scenario 1 (Current)</t>
  </si>
  <si>
    <t>Most realistic</t>
  </si>
  <si>
    <t>Scenario 2 (Lower payment)</t>
  </si>
  <si>
    <t>Cheaper now, grows faster</t>
  </si>
  <si>
    <t>Scenario 3 (Lower escalator)</t>
  </si>
  <si>
    <t>More stable long-term</t>
  </si>
  <si>
    <t>Scenario 1</t>
  </si>
  <si>
    <t>Scenario 2</t>
  </si>
  <si>
    <t>Scenario 3</t>
  </si>
  <si>
    <t>If rates rise, solar looks even better. If rates stay flat, you still buy certainty.</t>
  </si>
  <si>
    <t>solar/mo w/ rebate</t>
  </si>
  <si>
    <t>AVERAGES</t>
  </si>
  <si>
    <t>TOTALS</t>
  </si>
  <si>
    <t>% Savings</t>
  </si>
  <si>
    <t>INPUT YOUR BILL BELOW</t>
  </si>
  <si>
    <t xml:space="preserve"> Column D overrides presets when filled.</t>
  </si>
  <si>
    <t>Orange cells are inputs.</t>
  </si>
  <si>
    <t>Current Month Kwh</t>
  </si>
  <si>
    <t>Column1</t>
  </si>
  <si>
    <t>Solar+Utility(Inf. Adj.</t>
  </si>
  <si>
    <t>solar/mo before rebate</t>
  </si>
  <si>
    <t>% Savings BEFORE rebate</t>
  </si>
  <si>
    <t>Average Yearly Savings, First 10 Years</t>
  </si>
  <si>
    <t>Yearly Utility (Today)</t>
  </si>
  <si>
    <t>Yearly Solar (Today)</t>
  </si>
  <si>
    <t>Monthly impact calculation (kWh and $ value at today's rate)</t>
  </si>
  <si>
    <t>Savings $/Year</t>
  </si>
  <si>
    <t>% Saved</t>
  </si>
  <si>
    <t>1 batt</t>
  </si>
  <si>
    <t>2 batt</t>
  </si>
  <si>
    <t>Effective Sunrun Rate</t>
  </si>
  <si>
    <t>Avg Utility/mo</t>
  </si>
  <si>
    <t>Decision shortcut: if Monthly Advantage is positive, you are already ahead.  Savings can only compound unless utilities stop raising rates.</t>
  </si>
  <si>
    <t>Current Utility Rate</t>
  </si>
  <si>
    <t>Ranney</t>
  </si>
  <si>
    <t>Usage</t>
  </si>
  <si>
    <t>Name</t>
  </si>
  <si>
    <t>Furness</t>
  </si>
  <si>
    <t>Solar (Year 5)</t>
  </si>
  <si>
    <t>Utility(Pick Year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</si>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</sst>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(&quot;$&quot;* #,##0.00_);_(&quot;$&quot;* \(#,##0.00\);_(&quot;$&quot;* &quot;-&quot;??_);_(@_)"/>
    <numFmt numFmtId="164" formatCode="\$0.0000"/>
    <numFmt numFmtId="165" formatCode="&quot;$&quot;#,##0.00"/>
    <numFmt numFmtId="166" formatCode="\$#,##0.00"/>
    <numFmt numFmtId="167" formatCode="0.0%"/>
    <numFmt numFmtId="168" formatCode="&quot;$&quot;#,##0"/>
    <numFmt numFmtId="169" formatCode="\$#,##0"/>
    <numFmt numFmtId="170" formatCode="&quot;$&quot;#,##0.0000"/>
    <numFmt numFmtId="171" formatCode="&quot;$&quot;#,##0.000"/>
  </numFmts>
  <fonts count="71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color rgb="FF1F4E79"/>
      <name val="Calibri"/>
      <family val="2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Calibri"/>
      <family val="2"/>
    </font>
    <font>
      <b/>
      <sz val="10"/>
      <color theme="1"/>
      <name val="Trebuchet MS"/>
      <family val="2"/>
    </font>
    <font>
      <b/>
      <sz val="11"/>
      <color theme="1"/>
      <name val="Trebuchet MS"/>
      <family val="2"/>
    </font>
    <font>
      <b/>
      <i/>
      <sz val="13"/>
      <color rgb="FF0000FF"/>
      <name val="Trebuchet MS"/>
      <family val="2"/>
    </font>
    <font>
      <sz val="10"/>
      <color theme="1"/>
      <name val="Calibri"/>
      <family val="2"/>
    </font>
    <font>
      <b/>
      <sz val="24"/>
      <color rgb="FFFFFFFF"/>
      <name val="Segoe UI"/>
      <family val="2"/>
    </font>
    <font>
      <b/>
      <sz val="11"/>
      <color rgb="FFFFFFFF"/>
      <name val="Segoe UI"/>
      <family val="2"/>
    </font>
    <font>
      <b/>
      <sz val="20"/>
      <color rgb="FF111827"/>
      <name val="Segoe UI"/>
      <family val="2"/>
    </font>
    <font>
      <b/>
      <sz val="9"/>
      <color rgb="FF6B7280"/>
      <name val="Segoe UI"/>
      <family val="2"/>
    </font>
    <font>
      <b/>
      <sz val="12"/>
      <color rgb="FF111827"/>
      <name val="Segoe UI"/>
      <family val="2"/>
    </font>
    <font>
      <b/>
      <sz val="18"/>
      <color rgb="FF111827"/>
      <name val="Segoe UI"/>
      <family val="2"/>
    </font>
    <font>
      <b/>
      <sz val="14"/>
      <color rgb="FF111827"/>
      <name val="Segoe UI"/>
      <family val="2"/>
    </font>
    <font>
      <b/>
      <sz val="11"/>
      <color rgb="FF111827"/>
      <name val="Segoe UI"/>
      <family val="2"/>
    </font>
    <font>
      <b/>
      <sz val="10"/>
      <color rgb="FFFFFFFF"/>
      <name val="Segoe UI"/>
      <family val="2"/>
    </font>
    <font>
      <b/>
      <sz val="16"/>
      <color rgb="FF111827"/>
      <name val="Segoe UI"/>
      <family val="2"/>
    </font>
    <font>
      <sz val="11"/>
      <color rgb="FF3F3F76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6"/>
      <color rgb="FF3F3F76"/>
      <name val="Arial"/>
      <family val="2"/>
      <scheme val="minor"/>
    </font>
    <font>
      <sz val="11"/>
      <color rgb="FFFFFFFF"/>
      <name val="Segoe UI"/>
      <family val="2"/>
    </font>
    <font>
      <b/>
      <sz val="22"/>
      <color rgb="FFB91C1C"/>
      <name val="Segoe UI"/>
      <family val="2"/>
    </font>
    <font>
      <b/>
      <sz val="22"/>
      <color rgb="FF15803D"/>
      <name val="Segoe UI"/>
      <family val="2"/>
    </font>
    <font>
      <b/>
      <sz val="22"/>
      <color rgb="FF22C55E"/>
      <name val="Segoe UI"/>
      <family val="2"/>
    </font>
    <font>
      <i/>
      <sz val="11"/>
      <color rgb="FF6B7280"/>
      <name val="Segoe UI"/>
      <family val="2"/>
    </font>
    <font>
      <b/>
      <sz val="12"/>
      <color rgb="FFFFFFFF"/>
      <name val="Segoe UI"/>
      <family val="2"/>
    </font>
    <font>
      <b/>
      <sz val="11"/>
      <color rgb="FF111827"/>
      <name val="Arial"/>
      <family val="2"/>
    </font>
    <font>
      <b/>
      <sz val="12"/>
      <color rgb="FF111827"/>
      <name val="Arial"/>
      <family val="2"/>
    </font>
    <font>
      <b/>
      <sz val="10"/>
      <color rgb="FF111827"/>
      <name val="Segoe UI"/>
      <family val="2"/>
    </font>
    <font>
      <sz val="10"/>
      <color rgb="FF6B7280"/>
      <name val="Arial"/>
      <family val="2"/>
    </font>
    <font>
      <b/>
      <sz val="10"/>
      <color rgb="FF111827"/>
      <name val="Arial"/>
      <family val="2"/>
    </font>
    <font>
      <sz val="10"/>
      <color rgb="FF6B7280"/>
      <name val="Segoe UI"/>
      <family val="2"/>
    </font>
    <font>
      <sz val="10"/>
      <color rgb="FF111827"/>
      <name val="Segoe UI"/>
      <family val="2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i/>
      <sz val="13"/>
      <color rgb="FF0000FF"/>
      <name val="Arial"/>
      <family val="2"/>
      <scheme val="minor"/>
    </font>
    <font>
      <b/>
      <sz val="13"/>
      <color rgb="FF0000FF"/>
      <name val="Arial"/>
      <family val="2"/>
      <scheme val="minor"/>
    </font>
    <font>
      <b/>
      <sz val="11"/>
      <color rgb="FF0000FF"/>
      <name val="Arial"/>
      <family val="2"/>
      <scheme val="minor"/>
    </font>
    <font>
      <b/>
      <sz val="13"/>
      <color theme="1"/>
      <name val="Calibri"/>
      <family val="2"/>
    </font>
    <font>
      <b/>
      <sz val="14"/>
      <color rgb="FFFFFFFF"/>
      <name val="Times New Roman"/>
      <family val="1"/>
    </font>
    <font>
      <b/>
      <sz val="14"/>
      <color rgb="FFFFFFFF"/>
      <name val="Segoe UI"/>
      <family val="2"/>
    </font>
    <font>
      <b/>
      <sz val="20"/>
      <color rgb="FF00B050"/>
      <name val="Segoe UI"/>
      <family val="2"/>
    </font>
    <font>
      <sz val="20"/>
      <color rgb="FF00B050"/>
      <name val="Arial"/>
      <family val="2"/>
      <scheme val="minor"/>
    </font>
    <font>
      <b/>
      <sz val="22"/>
      <color rgb="FF002060"/>
      <name val="Segoe UI"/>
      <family val="2"/>
    </font>
    <font>
      <sz val="11"/>
      <color rgb="FF002060"/>
      <name val="Arial"/>
      <family val="2"/>
      <scheme val="minor"/>
    </font>
    <font>
      <sz val="8"/>
      <name val="Arial"/>
      <family val="2"/>
      <scheme val="minor"/>
    </font>
    <font>
      <b/>
      <sz val="14"/>
      <color rgb="FFFFFF00"/>
      <name val="Segoe UI"/>
      <family val="2"/>
    </font>
    <font>
      <b/>
      <sz val="14"/>
      <color rgb="FF00B050"/>
      <name val="Arial"/>
      <family val="2"/>
      <scheme val="minor"/>
    </font>
    <font>
      <b/>
      <sz val="12"/>
      <color rgb="FF00B050"/>
      <name val="Arial"/>
      <family val="2"/>
      <scheme val="minor"/>
    </font>
    <font>
      <b/>
      <sz val="12"/>
      <color rgb="FFFFFF00"/>
      <name val="Arial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0F766E"/>
      </patternFill>
    </fill>
    <fill>
      <patternFill patternType="solid">
        <fgColor rgb="FF115E59"/>
      </patternFill>
    </fill>
    <fill>
      <patternFill patternType="solid">
        <fgColor rgb="FFB91C1C"/>
      </patternFill>
    </fill>
    <fill>
      <patternFill patternType="solid">
        <fgColor rgb="FF15803D"/>
      </patternFill>
    </fill>
    <fill>
      <patternFill patternType="solid">
        <fgColor rgb="FF22C55E"/>
      </patternFill>
    </fill>
    <fill>
      <patternFill patternType="solid">
        <fgColor rgb="FFD97706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FCC99"/>
      </patternFill>
    </fill>
    <fill>
      <patternFill patternType="solid">
        <fgColor rgb="FF334155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3F4F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/>
      <right/>
      <top/>
      <bottom style="thin">
        <color rgb="FFE5E7EB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1">
    <xf numFmtId="0" fontId="0" fillId="0" borderId="0"/>
    <xf numFmtId="9" fontId="7" fillId="0" borderId="0" applyFont="0" applyFill="0" applyBorder="0" applyAlignment="0" applyProtection="0"/>
    <xf numFmtId="0" fontId="31" fillId="14" borderId="6" applyNumberFormat="0" applyAlignment="0" applyProtection="0"/>
    <xf numFmtId="0" fontId="32" fillId="0" borderId="0" applyNumberFormat="0" applyFill="0" applyBorder="0" applyAlignment="0" applyProtection="0"/>
    <xf numFmtId="0" fontId="2" fillId="0" borderId="0"/>
    <xf numFmtId="0" fontId="47" fillId="16" borderId="12" applyNumberFormat="0" applyAlignment="0" applyProtection="0"/>
    <xf numFmtId="0" fontId="1" fillId="17" borderId="0" applyNumberFormat="0" applyBorder="0" applyAlignment="0" applyProtection="0"/>
    <xf numFmtId="0" fontId="4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</cellStyleXfs>
  <cellXfs count="198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9" fillId="0" borderId="0" xfId="0" applyFont="1"/>
    <xf numFmtId="164" fontId="4" fillId="0" borderId="0" xfId="0" applyNumberFormat="1" applyFont="1"/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0" fillId="0" borderId="0" xfId="0" applyFont="1"/>
    <xf numFmtId="10" fontId="4" fillId="0" borderId="0" xfId="0" applyNumberFormat="1" applyFont="1"/>
    <xf numFmtId="10" fontId="9" fillId="0" borderId="0" xfId="0" applyNumberFormat="1" applyFont="1" applyAlignment="1">
      <alignment horizontal="right"/>
    </xf>
    <xf numFmtId="167" fontId="4" fillId="0" borderId="0" xfId="0" applyNumberFormat="1" applyFont="1"/>
    <xf numFmtId="0" fontId="11" fillId="0" borderId="0" xfId="0" applyFont="1"/>
    <xf numFmtId="0" fontId="12" fillId="0" borderId="0" xfId="0" applyFont="1"/>
    <xf numFmtId="0" fontId="16" fillId="0" borderId="0" xfId="0" applyFont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9" fontId="19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0" xfId="0" applyFont="1" applyProtection="1">
      <protection locked="0"/>
    </xf>
    <xf numFmtId="0" fontId="31" fillId="14" borderId="6" xfId="2"/>
    <xf numFmtId="0" fontId="2" fillId="0" borderId="0" xfId="4"/>
    <xf numFmtId="0" fontId="2" fillId="0" borderId="4" xfId="4" applyBorder="1"/>
    <xf numFmtId="0" fontId="2" fillId="0" borderId="5" xfId="4" applyBorder="1"/>
    <xf numFmtId="0" fontId="2" fillId="4" borderId="3" xfId="4" applyFill="1" applyBorder="1"/>
    <xf numFmtId="0" fontId="40" fillId="3" borderId="0" xfId="4" applyFont="1" applyFill="1" applyAlignment="1">
      <alignment horizontal="center"/>
    </xf>
    <xf numFmtId="0" fontId="28" fillId="0" borderId="0" xfId="4" applyFont="1"/>
    <xf numFmtId="0" fontId="24" fillId="0" borderId="0" xfId="4" applyFont="1"/>
    <xf numFmtId="168" fontId="2" fillId="0" borderId="0" xfId="4" applyNumberFormat="1"/>
    <xf numFmtId="0" fontId="40" fillId="0" borderId="0" xfId="4" applyFont="1"/>
    <xf numFmtId="0" fontId="40" fillId="4" borderId="3" xfId="4" applyFont="1" applyFill="1" applyBorder="1" applyAlignment="1">
      <alignment horizontal="left" vertical="center"/>
    </xf>
    <xf numFmtId="168" fontId="41" fillId="4" borderId="3" xfId="4" applyNumberFormat="1" applyFont="1" applyFill="1" applyBorder="1" applyAlignment="1">
      <alignment horizontal="right" vertical="center"/>
    </xf>
    <xf numFmtId="165" fontId="2" fillId="0" borderId="0" xfId="4" applyNumberFormat="1"/>
    <xf numFmtId="1" fontId="2" fillId="0" borderId="0" xfId="4" applyNumberFormat="1"/>
    <xf numFmtId="0" fontId="43" fillId="4" borderId="3" xfId="4" applyFont="1" applyFill="1" applyBorder="1" applyAlignment="1">
      <alignment horizontal="left"/>
    </xf>
    <xf numFmtId="171" fontId="44" fillId="4" borderId="3" xfId="4" applyNumberFormat="1" applyFont="1" applyFill="1" applyBorder="1" applyAlignment="1">
      <alignment horizontal="right"/>
    </xf>
    <xf numFmtId="0" fontId="29" fillId="15" borderId="3" xfId="4" applyFont="1" applyFill="1" applyBorder="1" applyAlignment="1">
      <alignment horizontal="center" vertical="center"/>
    </xf>
    <xf numFmtId="0" fontId="39" fillId="15" borderId="0" xfId="4" applyFont="1" applyFill="1" applyAlignment="1">
      <alignment horizontal="left" vertical="center"/>
    </xf>
    <xf numFmtId="0" fontId="45" fillId="4" borderId="0" xfId="4" applyFont="1" applyFill="1" applyAlignment="1">
      <alignment horizontal="left" vertical="center"/>
    </xf>
    <xf numFmtId="0" fontId="39" fillId="3" borderId="0" xfId="4" applyFont="1" applyFill="1" applyAlignment="1">
      <alignment horizontal="left" vertical="center" wrapText="1"/>
    </xf>
    <xf numFmtId="0" fontId="2" fillId="3" borderId="0" xfId="4" applyFill="1" applyAlignment="1">
      <alignment horizontal="left" vertical="center" wrapText="1"/>
    </xf>
    <xf numFmtId="0" fontId="29" fillId="5" borderId="3" xfId="4" applyFont="1" applyFill="1" applyBorder="1" applyAlignment="1">
      <alignment horizontal="center" vertical="center"/>
    </xf>
    <xf numFmtId="0" fontId="46" fillId="4" borderId="3" xfId="4" applyFont="1" applyFill="1" applyBorder="1" applyAlignment="1">
      <alignment horizontal="left" vertical="center"/>
    </xf>
    <xf numFmtId="169" fontId="46" fillId="4" borderId="3" xfId="4" applyNumberFormat="1" applyFont="1" applyFill="1" applyBorder="1" applyAlignment="1">
      <alignment horizontal="left" vertical="center"/>
    </xf>
    <xf numFmtId="10" fontId="46" fillId="4" borderId="3" xfId="4" applyNumberFormat="1" applyFont="1" applyFill="1" applyBorder="1" applyAlignment="1">
      <alignment horizontal="left" vertical="center"/>
    </xf>
    <xf numFmtId="0" fontId="46" fillId="4" borderId="3" xfId="4" applyFont="1" applyFill="1" applyBorder="1" applyAlignment="1">
      <alignment horizontal="center" vertical="center"/>
    </xf>
    <xf numFmtId="169" fontId="46" fillId="4" borderId="3" xfId="4" applyNumberFormat="1" applyFont="1" applyFill="1" applyBorder="1" applyAlignment="1">
      <alignment horizontal="center" vertical="center"/>
    </xf>
    <xf numFmtId="0" fontId="2" fillId="4" borderId="3" xfId="4" applyFill="1" applyBorder="1" applyAlignment="1">
      <alignment horizontal="center" vertical="center"/>
    </xf>
    <xf numFmtId="0" fontId="29" fillId="15" borderId="3" xfId="4" applyFont="1" applyFill="1" applyBorder="1" applyAlignment="1">
      <alignment horizontal="center" vertical="center"/>
    </xf>
    <xf numFmtId="0" fontId="2" fillId="0" borderId="5" xfId="4" applyBorder="1"/>
    <xf numFmtId="0" fontId="2" fillId="0" borderId="4" xfId="4" applyBorder="1"/>
    <xf numFmtId="0" fontId="2" fillId="0" borderId="10" xfId="4" applyBorder="1"/>
    <xf numFmtId="0" fontId="2" fillId="0" borderId="7" xfId="4" applyBorder="1"/>
    <xf numFmtId="0" fontId="2" fillId="0" borderId="8" xfId="4" applyBorder="1"/>
    <xf numFmtId="0" fontId="2" fillId="0" borderId="11" xfId="4" applyBorder="1"/>
    <xf numFmtId="0" fontId="2" fillId="0" borderId="9" xfId="4" applyBorder="1"/>
    <xf numFmtId="0" fontId="2" fillId="0" borderId="0" xfId="4"/>
    <xf numFmtId="0" fontId="42" fillId="13" borderId="3" xfId="4" applyFont="1" applyFill="1" applyBorder="1" applyAlignment="1">
      <alignment horizontal="left" vertical="center"/>
    </xf>
    <xf numFmtId="0" fontId="22" fillId="15" borderId="3" xfId="4" applyFont="1" applyFill="1" applyBorder="1" applyAlignment="1">
      <alignment horizontal="left" vertical="center"/>
    </xf>
    <xf numFmtId="0" fontId="22" fillId="10" borderId="3" xfId="4" applyFont="1" applyFill="1" applyBorder="1" applyAlignment="1">
      <alignment horizontal="center" vertical="center" wrapText="1"/>
    </xf>
    <xf numFmtId="0" fontId="39" fillId="4" borderId="3" xfId="4" applyFont="1" applyFill="1" applyBorder="1" applyAlignment="1">
      <alignment horizontal="center" vertical="center"/>
    </xf>
    <xf numFmtId="0" fontId="30" fillId="4" borderId="3" xfId="4" applyFont="1" applyFill="1" applyBorder="1" applyAlignment="1">
      <alignment horizontal="center" vertical="center"/>
    </xf>
    <xf numFmtId="0" fontId="27" fillId="4" borderId="3" xfId="4" applyFont="1" applyFill="1" applyBorder="1" applyAlignment="1">
      <alignment horizontal="left" vertical="center"/>
    </xf>
    <xf numFmtId="0" fontId="42" fillId="12" borderId="3" xfId="4" applyFont="1" applyFill="1" applyBorder="1" applyAlignment="1">
      <alignment horizontal="left" vertical="center"/>
    </xf>
    <xf numFmtId="0" fontId="42" fillId="11" borderId="3" xfId="4" applyFont="1" applyFill="1" applyBorder="1" applyAlignment="1">
      <alignment horizontal="left" vertical="center"/>
    </xf>
    <xf numFmtId="0" fontId="23" fillId="4" borderId="3" xfId="4" applyFont="1" applyFill="1" applyBorder="1" applyAlignment="1">
      <alignment horizontal="center" vertical="center"/>
    </xf>
    <xf numFmtId="0" fontId="25" fillId="4" borderId="3" xfId="4" applyFont="1" applyFill="1" applyBorder="1" applyAlignment="1">
      <alignment horizontal="center" vertical="center" wrapText="1"/>
    </xf>
    <xf numFmtId="0" fontId="22" fillId="4" borderId="3" xfId="4" applyFont="1" applyFill="1" applyBorder="1" applyAlignment="1">
      <alignment horizontal="center" vertical="center"/>
    </xf>
    <xf numFmtId="168" fontId="35" fillId="4" borderId="3" xfId="4" applyNumberFormat="1" applyFont="1" applyFill="1" applyBorder="1" applyAlignment="1">
      <alignment horizontal="center" vertical="center"/>
    </xf>
    <xf numFmtId="168" fontId="36" fillId="4" borderId="3" xfId="4" applyNumberFormat="1" applyFont="1" applyFill="1" applyBorder="1" applyAlignment="1">
      <alignment horizontal="center" vertical="center"/>
    </xf>
    <xf numFmtId="168" fontId="37" fillId="4" borderId="3" xfId="4" applyNumberFormat="1" applyFont="1" applyFill="1" applyBorder="1" applyAlignment="1">
      <alignment horizontal="center" vertical="center"/>
    </xf>
    <xf numFmtId="0" fontId="38" fillId="4" borderId="3" xfId="4" applyFont="1" applyFill="1" applyBorder="1" applyAlignment="1">
      <alignment horizontal="center" vertical="center"/>
    </xf>
    <xf numFmtId="0" fontId="21" fillId="5" borderId="0" xfId="4" applyFont="1" applyFill="1" applyAlignment="1">
      <alignment horizontal="center" vertical="center"/>
    </xf>
    <xf numFmtId="0" fontId="34" fillId="6" borderId="0" xfId="4" applyFont="1" applyFill="1" applyAlignment="1">
      <alignment horizontal="center" vertical="center"/>
    </xf>
    <xf numFmtId="0" fontId="22" fillId="7" borderId="3" xfId="4" applyFont="1" applyFill="1" applyBorder="1" applyAlignment="1">
      <alignment horizontal="center" vertical="center" wrapText="1"/>
    </xf>
    <xf numFmtId="0" fontId="22" fillId="8" borderId="3" xfId="4" applyFont="1" applyFill="1" applyBorder="1" applyAlignment="1">
      <alignment horizontal="center" vertical="center" wrapText="1"/>
    </xf>
    <xf numFmtId="0" fontId="22" fillId="9" borderId="3" xfId="4" applyFont="1" applyFill="1" applyBorder="1" applyAlignment="1">
      <alignment horizontal="center" vertical="center" wrapText="1"/>
    </xf>
    <xf numFmtId="0" fontId="0" fillId="0" borderId="0" xfId="0"/>
    <xf numFmtId="0" fontId="3" fillId="0" borderId="0" xfId="0" applyFont="1"/>
    <xf numFmtId="0" fontId="33" fillId="14" borderId="0" xfId="2" applyFont="1" applyBorder="1" applyAlignment="1">
      <alignment horizontal="center"/>
    </xf>
    <xf numFmtId="0" fontId="8" fillId="0" borderId="0" xfId="0" applyFont="1"/>
    <xf numFmtId="0" fontId="13" fillId="0" borderId="0" xfId="0" applyFont="1" applyAlignment="1">
      <alignment horizontal="center" vertical="center"/>
    </xf>
    <xf numFmtId="169" fontId="4" fillId="0" borderId="0" xfId="0" applyNumberFormat="1" applyFont="1" applyAlignment="1">
      <alignment vertical="center"/>
    </xf>
    <xf numFmtId="0" fontId="4" fillId="0" borderId="0" xfId="0" applyFont="1" applyAlignment="1"/>
    <xf numFmtId="169" fontId="4" fillId="0" borderId="0" xfId="0" applyNumberFormat="1" applyFont="1" applyAlignment="1"/>
    <xf numFmtId="167" fontId="15" fillId="0" borderId="0" xfId="1" applyNumberFormat="1" applyFont="1" applyAlignment="1">
      <alignment horizontal="center" vertical="center"/>
    </xf>
    <xf numFmtId="167" fontId="17" fillId="0" borderId="0" xfId="1" applyNumberFormat="1" applyFont="1" applyAlignment="1">
      <alignment horizontal="center" vertical="center"/>
    </xf>
    <xf numFmtId="0" fontId="20" fillId="0" borderId="0" xfId="0" applyNumberFormat="1" applyFont="1" applyAlignment="1">
      <alignment vertical="center"/>
    </xf>
    <xf numFmtId="167" fontId="20" fillId="0" borderId="0" xfId="1" applyNumberFormat="1" applyFont="1" applyAlignment="1"/>
    <xf numFmtId="169" fontId="20" fillId="0" borderId="0" xfId="0" applyNumberFormat="1" applyFont="1" applyAlignment="1"/>
    <xf numFmtId="167" fontId="20" fillId="0" borderId="0" xfId="1" applyNumberFormat="1" applyFont="1"/>
    <xf numFmtId="167" fontId="50" fillId="0" borderId="0" xfId="1" applyNumberFormat="1" applyFont="1"/>
    <xf numFmtId="0" fontId="20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 applyAlignment="1">
      <alignment horizontal="center" vertical="center"/>
    </xf>
    <xf numFmtId="0" fontId="52" fillId="0" borderId="0" xfId="0" applyFont="1"/>
    <xf numFmtId="0" fontId="53" fillId="0" borderId="0" xfId="0" applyFont="1"/>
    <xf numFmtId="164" fontId="54" fillId="0" borderId="1" xfId="0" applyNumberFormat="1" applyFont="1" applyBorder="1" applyAlignment="1">
      <alignment horizontal="center" vertical="center"/>
    </xf>
    <xf numFmtId="3" fontId="54" fillId="0" borderId="1" xfId="0" applyNumberFormat="1" applyFont="1" applyBorder="1" applyAlignment="1">
      <alignment horizontal="center" vertical="center"/>
    </xf>
    <xf numFmtId="169" fontId="55" fillId="0" borderId="1" xfId="0" applyNumberFormat="1" applyFont="1" applyBorder="1" applyAlignment="1">
      <alignment horizontal="center" vertical="center"/>
    </xf>
    <xf numFmtId="169" fontId="48" fillId="0" borderId="1" xfId="0" applyNumberFormat="1" applyFont="1" applyBorder="1" applyAlignment="1">
      <alignment horizontal="center" vertical="center"/>
    </xf>
    <xf numFmtId="169" fontId="56" fillId="0" borderId="1" xfId="0" applyNumberFormat="1" applyFont="1" applyBorder="1" applyAlignment="1">
      <alignment horizontal="center" vertical="center"/>
    </xf>
    <xf numFmtId="167" fontId="54" fillId="0" borderId="1" xfId="1" applyNumberFormat="1" applyFont="1" applyBorder="1" applyAlignment="1">
      <alignment horizontal="center" vertical="center"/>
    </xf>
    <xf numFmtId="169" fontId="57" fillId="0" borderId="1" xfId="0" applyNumberFormat="1" applyFont="1" applyBorder="1" applyAlignment="1">
      <alignment horizontal="center" vertical="center"/>
    </xf>
    <xf numFmtId="169" fontId="57" fillId="0" borderId="0" xfId="0" applyNumberFormat="1" applyFont="1" applyAlignment="1">
      <alignment horizontal="center" vertical="center"/>
    </xf>
    <xf numFmtId="169" fontId="58" fillId="0" borderId="0" xfId="0" applyNumberFormat="1" applyFont="1" applyAlignment="1">
      <alignment horizontal="center" vertical="center"/>
    </xf>
    <xf numFmtId="165" fontId="55" fillId="0" borderId="0" xfId="0" applyNumberFormat="1" applyFont="1" applyAlignment="1">
      <alignment horizontal="center" vertical="center"/>
    </xf>
    <xf numFmtId="10" fontId="59" fillId="0" borderId="0" xfId="0" applyNumberFormat="1" applyFont="1"/>
    <xf numFmtId="0" fontId="1" fillId="0" borderId="0" xfId="0" applyFont="1"/>
    <xf numFmtId="0" fontId="31" fillId="14" borderId="6" xfId="2"/>
    <xf numFmtId="44" fontId="31" fillId="14" borderId="6" xfId="2" applyNumberFormat="1"/>
    <xf numFmtId="0" fontId="1" fillId="19" borderId="0" xfId="8"/>
    <xf numFmtId="0" fontId="1" fillId="20" borderId="0" xfId="9"/>
    <xf numFmtId="0" fontId="1" fillId="21" borderId="0" xfId="10"/>
    <xf numFmtId="0" fontId="1" fillId="19" borderId="1" xfId="8" applyBorder="1" applyAlignment="1">
      <alignment horizontal="left" vertical="center"/>
    </xf>
    <xf numFmtId="0" fontId="1" fillId="20" borderId="1" xfId="9" applyBorder="1" applyAlignment="1">
      <alignment horizontal="left" vertical="center"/>
    </xf>
    <xf numFmtId="10" fontId="1" fillId="20" borderId="1" xfId="9" applyNumberFormat="1" applyBorder="1" applyAlignment="1">
      <alignment horizontal="left" vertical="center"/>
    </xf>
    <xf numFmtId="0" fontId="0" fillId="0" borderId="0" xfId="0" applyAlignment="1"/>
    <xf numFmtId="0" fontId="31" fillId="14" borderId="6" xfId="2" applyAlignment="1">
      <alignment horizontal="center"/>
    </xf>
    <xf numFmtId="1" fontId="1" fillId="20" borderId="0" xfId="9" applyNumberFormat="1" applyProtection="1"/>
    <xf numFmtId="170" fontId="1" fillId="20" borderId="0" xfId="9" applyNumberFormat="1" applyProtection="1"/>
    <xf numFmtId="165" fontId="1" fillId="20" borderId="0" xfId="9" applyNumberFormat="1" applyProtection="1"/>
    <xf numFmtId="165" fontId="1" fillId="21" borderId="0" xfId="10" applyNumberFormat="1" applyProtection="1"/>
    <xf numFmtId="164" fontId="1" fillId="21" borderId="13" xfId="10" applyNumberFormat="1" applyBorder="1" applyAlignment="1" applyProtection="1">
      <alignment horizontal="right" vertical="center"/>
    </xf>
    <xf numFmtId="3" fontId="1" fillId="21" borderId="13" xfId="10" applyNumberFormat="1" applyBorder="1" applyAlignment="1" applyProtection="1">
      <alignment horizontal="right" vertical="center"/>
    </xf>
    <xf numFmtId="10" fontId="1" fillId="21" borderId="13" xfId="10" applyNumberFormat="1" applyBorder="1" applyAlignment="1" applyProtection="1">
      <alignment horizontal="right" vertical="center"/>
    </xf>
    <xf numFmtId="1" fontId="1" fillId="21" borderId="13" xfId="10" applyNumberFormat="1" applyBorder="1" applyAlignment="1" applyProtection="1">
      <alignment horizontal="right" vertical="center"/>
    </xf>
    <xf numFmtId="9" fontId="1" fillId="21" borderId="13" xfId="10" applyNumberFormat="1" applyBorder="1" applyAlignment="1" applyProtection="1">
      <alignment horizontal="right" vertical="center"/>
    </xf>
    <xf numFmtId="168" fontId="1" fillId="21" borderId="13" xfId="10" applyNumberFormat="1" applyBorder="1" applyAlignment="1" applyProtection="1">
      <alignment horizontal="right" vertical="center"/>
    </xf>
    <xf numFmtId="0" fontId="32" fillId="19" borderId="1" xfId="3" applyFill="1" applyBorder="1" applyAlignment="1">
      <alignment horizontal="right" vertical="center" wrapText="1"/>
    </xf>
    <xf numFmtId="164" fontId="32" fillId="20" borderId="1" xfId="3" applyNumberFormat="1" applyFill="1" applyBorder="1" applyAlignment="1">
      <alignment horizontal="right" vertical="center"/>
    </xf>
    <xf numFmtId="3" fontId="32" fillId="20" borderId="1" xfId="3" applyNumberFormat="1" applyFill="1" applyBorder="1" applyAlignment="1">
      <alignment horizontal="right" vertical="center"/>
    </xf>
    <xf numFmtId="10" fontId="32" fillId="20" borderId="1" xfId="3" applyNumberFormat="1" applyFill="1" applyBorder="1" applyAlignment="1">
      <alignment horizontal="right" vertical="center"/>
    </xf>
    <xf numFmtId="0" fontId="32" fillId="20" borderId="1" xfId="3" applyFill="1" applyBorder="1" applyAlignment="1">
      <alignment horizontal="right" vertical="center"/>
    </xf>
    <xf numFmtId="167" fontId="32" fillId="20" borderId="1" xfId="3" applyNumberFormat="1" applyFill="1" applyBorder="1" applyAlignment="1">
      <alignment horizontal="right" vertical="center"/>
    </xf>
    <xf numFmtId="168" fontId="32" fillId="20" borderId="1" xfId="3" applyNumberFormat="1" applyFill="1" applyBorder="1" applyAlignment="1">
      <alignment horizontal="right" vertical="center"/>
    </xf>
    <xf numFmtId="0" fontId="1" fillId="19" borderId="14" xfId="8" applyBorder="1" applyAlignment="1">
      <alignment horizontal="left" vertical="center"/>
    </xf>
    <xf numFmtId="0" fontId="1" fillId="19" borderId="15" xfId="8" applyBorder="1" applyAlignment="1">
      <alignment horizontal="left" vertical="center"/>
    </xf>
    <xf numFmtId="0" fontId="47" fillId="16" borderId="12" xfId="5"/>
    <xf numFmtId="0" fontId="1" fillId="17" borderId="0" xfId="6" applyAlignment="1">
      <alignment horizontal="center"/>
    </xf>
    <xf numFmtId="164" fontId="1" fillId="17" borderId="1" xfId="6" applyNumberFormat="1" applyBorder="1" applyAlignment="1">
      <alignment horizontal="right" vertical="center"/>
    </xf>
    <xf numFmtId="3" fontId="1" fillId="17" borderId="1" xfId="6" applyNumberFormat="1" applyBorder="1" applyAlignment="1">
      <alignment horizontal="right" vertical="center"/>
    </xf>
    <xf numFmtId="10" fontId="1" fillId="17" borderId="1" xfId="6" applyNumberFormat="1" applyBorder="1" applyAlignment="1">
      <alignment horizontal="right" vertical="center"/>
    </xf>
    <xf numFmtId="166" fontId="1" fillId="17" borderId="1" xfId="6" applyNumberFormat="1" applyBorder="1" applyAlignment="1">
      <alignment horizontal="right" vertical="center"/>
    </xf>
    <xf numFmtId="1" fontId="1" fillId="17" borderId="1" xfId="6" applyNumberFormat="1" applyBorder="1" applyAlignment="1">
      <alignment horizontal="right" vertical="center"/>
    </xf>
    <xf numFmtId="9" fontId="1" fillId="17" borderId="1" xfId="6" applyNumberFormat="1" applyBorder="1" applyAlignment="1">
      <alignment horizontal="right" vertical="center"/>
    </xf>
    <xf numFmtId="169" fontId="1" fillId="17" borderId="1" xfId="6" applyNumberFormat="1" applyBorder="1" applyAlignment="1">
      <alignment horizontal="right" vertical="center"/>
    </xf>
    <xf numFmtId="165" fontId="1" fillId="21" borderId="13" xfId="10" applyNumberFormat="1" applyBorder="1" applyAlignment="1" applyProtection="1">
      <alignment horizontal="right" vertical="center"/>
    </xf>
    <xf numFmtId="165" fontId="4" fillId="0" borderId="0" xfId="0" applyNumberFormat="1" applyFont="1"/>
    <xf numFmtId="0" fontId="60" fillId="2" borderId="1" xfId="0" applyFont="1" applyFill="1" applyBorder="1" applyAlignment="1">
      <alignment horizontal="center" vertical="center" wrapText="1"/>
    </xf>
    <xf numFmtId="167" fontId="60" fillId="2" borderId="1" xfId="1" applyNumberFormat="1" applyFont="1" applyFill="1" applyBorder="1" applyAlignment="1">
      <alignment horizontal="center" vertical="center" wrapText="1"/>
    </xf>
    <xf numFmtId="0" fontId="60" fillId="2" borderId="0" xfId="0" applyFont="1" applyFill="1" applyAlignment="1">
      <alignment horizontal="center" vertical="center" wrapText="1"/>
    </xf>
    <xf numFmtId="0" fontId="60" fillId="2" borderId="0" xfId="0" applyFont="1" applyFill="1" applyBorder="1" applyAlignment="1">
      <alignment horizontal="center" vertical="center" wrapText="1"/>
    </xf>
    <xf numFmtId="0" fontId="47" fillId="18" borderId="0" xfId="7" applyFont="1" applyAlignment="1">
      <alignment wrapText="1"/>
    </xf>
    <xf numFmtId="0" fontId="24" fillId="4" borderId="16" xfId="4" applyFont="1" applyFill="1" applyBorder="1" applyAlignment="1">
      <alignment horizontal="center" vertical="center"/>
    </xf>
    <xf numFmtId="0" fontId="24" fillId="4" borderId="5" xfId="4" applyFont="1" applyFill="1" applyBorder="1" applyAlignment="1">
      <alignment horizontal="center" vertical="center"/>
    </xf>
    <xf numFmtId="0" fontId="24" fillId="4" borderId="4" xfId="4" applyFont="1" applyFill="1" applyBorder="1" applyAlignment="1">
      <alignment horizontal="center" vertical="center"/>
    </xf>
    <xf numFmtId="0" fontId="62" fillId="0" borderId="3" xfId="4" applyFont="1" applyFill="1" applyBorder="1" applyAlignment="1" applyProtection="1">
      <alignment horizontal="center"/>
      <protection locked="0"/>
    </xf>
    <xf numFmtId="0" fontId="63" fillId="0" borderId="10" xfId="4" applyFont="1" applyFill="1" applyBorder="1" applyProtection="1">
      <protection locked="0"/>
    </xf>
    <xf numFmtId="0" fontId="63" fillId="0" borderId="7" xfId="4" applyFont="1" applyFill="1" applyBorder="1" applyProtection="1">
      <protection locked="0"/>
    </xf>
    <xf numFmtId="0" fontId="63" fillId="0" borderId="8" xfId="4" applyFont="1" applyFill="1" applyBorder="1" applyProtection="1">
      <protection locked="0"/>
    </xf>
    <xf numFmtId="0" fontId="63" fillId="0" borderId="11" xfId="4" applyFont="1" applyFill="1" applyBorder="1" applyProtection="1">
      <protection locked="0"/>
    </xf>
    <xf numFmtId="0" fontId="63" fillId="0" borderId="9" xfId="4" applyFont="1" applyFill="1" applyBorder="1" applyProtection="1">
      <protection locked="0"/>
    </xf>
    <xf numFmtId="168" fontId="64" fillId="4" borderId="3" xfId="4" applyNumberFormat="1" applyFont="1" applyFill="1" applyBorder="1" applyAlignment="1">
      <alignment horizontal="center" vertical="center"/>
    </xf>
    <xf numFmtId="0" fontId="65" fillId="0" borderId="7" xfId="4" applyFont="1" applyBorder="1"/>
    <xf numFmtId="0" fontId="65" fillId="0" borderId="8" xfId="4" applyFont="1" applyBorder="1"/>
    <xf numFmtId="0" fontId="65" fillId="0" borderId="9" xfId="4" applyFont="1" applyBorder="1"/>
    <xf numFmtId="0" fontId="2" fillId="0" borderId="0" xfId="4" applyFill="1"/>
    <xf numFmtId="168" fontId="2" fillId="0" borderId="0" xfId="4" applyNumberFormat="1" applyFill="1"/>
    <xf numFmtId="0" fontId="40" fillId="22" borderId="0" xfId="4" applyFont="1" applyFill="1" applyAlignment="1">
      <alignment horizontal="center"/>
    </xf>
    <xf numFmtId="9" fontId="2" fillId="0" borderId="0" xfId="1" applyFont="1" applyFill="1"/>
    <xf numFmtId="0" fontId="26" fillId="12" borderId="17" xfId="4" applyFont="1" applyFill="1" applyBorder="1" applyAlignment="1">
      <alignment horizontal="center" vertical="center"/>
    </xf>
    <xf numFmtId="0" fontId="26" fillId="12" borderId="10" xfId="4" applyFont="1" applyFill="1" applyBorder="1" applyAlignment="1">
      <alignment horizontal="center" vertical="center"/>
    </xf>
    <xf numFmtId="0" fontId="26" fillId="12" borderId="7" xfId="4" applyFont="1" applyFill="1" applyBorder="1" applyAlignment="1">
      <alignment horizontal="center" vertical="center"/>
    </xf>
    <xf numFmtId="0" fontId="26" fillId="12" borderId="8" xfId="4" applyFont="1" applyFill="1" applyBorder="1" applyAlignment="1">
      <alignment horizontal="center" vertical="center"/>
    </xf>
    <xf numFmtId="0" fontId="26" fillId="12" borderId="11" xfId="4" applyFont="1" applyFill="1" applyBorder="1" applyAlignment="1">
      <alignment horizontal="center" vertical="center"/>
    </xf>
    <xf numFmtId="0" fontId="26" fillId="12" borderId="9" xfId="4" applyFont="1" applyFill="1" applyBorder="1" applyAlignment="1">
      <alignment horizontal="center" vertical="center"/>
    </xf>
    <xf numFmtId="0" fontId="61" fillId="9" borderId="16" xfId="4" applyFont="1" applyFill="1" applyBorder="1" applyAlignment="1">
      <alignment horizontal="center" vertical="center"/>
    </xf>
    <xf numFmtId="0" fontId="61" fillId="9" borderId="5" xfId="4" applyFont="1" applyFill="1" applyBorder="1" applyAlignment="1">
      <alignment horizontal="center" vertical="center"/>
    </xf>
    <xf numFmtId="0" fontId="61" fillId="9" borderId="4" xfId="4" applyFont="1" applyFill="1" applyBorder="1" applyAlignment="1">
      <alignment horizontal="center" vertical="center"/>
    </xf>
    <xf numFmtId="0" fontId="27" fillId="4" borderId="4" xfId="4" applyFont="1" applyFill="1" applyBorder="1" applyAlignment="1">
      <alignment vertical="center"/>
    </xf>
    <xf numFmtId="0" fontId="67" fillId="23" borderId="16" xfId="4" applyFont="1" applyFill="1" applyBorder="1" applyAlignment="1">
      <alignment vertical="center"/>
    </xf>
    <xf numFmtId="0" fontId="68" fillId="24" borderId="3" xfId="4" applyFont="1" applyFill="1" applyBorder="1"/>
    <xf numFmtId="0" fontId="2" fillId="4" borderId="5" xfId="4" applyFill="1" applyBorder="1"/>
    <xf numFmtId="0" fontId="2" fillId="4" borderId="4" xfId="4" applyFill="1" applyBorder="1"/>
    <xf numFmtId="0" fontId="69" fillId="24" borderId="3" xfId="4" applyFont="1" applyFill="1" applyBorder="1" applyAlignment="1">
      <alignment horizontal="center" vertical="center"/>
    </xf>
    <xf numFmtId="0" fontId="70" fillId="23" borderId="3" xfId="4" applyFont="1" applyFill="1" applyBorder="1" applyAlignment="1">
      <alignment vertical="center"/>
    </xf>
    <xf numFmtId="0" fontId="60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1">
    <cellStyle name="20% - Accent2" xfId="8" builtinId="34"/>
    <cellStyle name="40% - Accent1" xfId="6" builtinId="31"/>
    <cellStyle name="40% - Accent2" xfId="9" builtinId="35"/>
    <cellStyle name="60% - Accent2" xfId="10" builtinId="36"/>
    <cellStyle name="Accent2" xfId="7" builtinId="33"/>
    <cellStyle name="Check Cell" xfId="5" builtinId="23"/>
    <cellStyle name="Input" xfId="2" builtinId="20"/>
    <cellStyle name="Normal" xfId="0" builtinId="0"/>
    <cellStyle name="Normal 2" xfId="4" xr:uid="{FCE9557C-57D8-4D64-9FD0-82B2B5CEB988}"/>
    <cellStyle name="Percent" xfId="1" builtinId="5"/>
    <cellStyle name="Warning Text" xfId="3" builtinId="11"/>
  </cellStyles>
  <dxfs count="24"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5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scheme val="minor"/>
      </font>
      <numFmt numFmtId="169" formatCode="\$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FF"/>
        <name val="Arial"/>
        <family val="2"/>
        <scheme val="minor"/>
      </font>
      <numFmt numFmtId="169" formatCode="\$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FF"/>
        <name val="Arial"/>
        <family val="2"/>
        <scheme val="minor"/>
      </font>
      <numFmt numFmtId="169" formatCode="\$#,##0"/>
      <alignment horizontal="center" vertical="center" textRotation="0" wrapText="0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FF"/>
        <name val="Arial"/>
        <family val="2"/>
        <scheme val="minor"/>
      </font>
      <numFmt numFmtId="169" formatCode="\$#,##0"/>
      <alignment horizontal="center" vertical="center" textRotation="0" wrapText="0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FF"/>
        <name val="Arial"/>
        <family val="2"/>
        <scheme val="minor"/>
      </font>
      <numFmt numFmtId="169" formatCode="\$#,##0"/>
      <alignment horizontal="center" vertical="center" textRotation="0" wrapText="0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9" formatCode="\$#,##0"/>
      <alignment horizontal="center" vertical="center" textRotation="0" wrapText="0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9" formatCode="\$#,##0"/>
      <alignment horizontal="center" vertical="center" textRotation="0" wrapText="0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rgb="FF0000FF"/>
        <name val="Arial"/>
        <family val="2"/>
        <scheme val="minor"/>
      </font>
      <numFmt numFmtId="169" formatCode="\$#,##0"/>
      <alignment horizontal="center" vertical="center" textRotation="0" wrapText="0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9" formatCode="\$#,##0"/>
      <alignment horizontal="center" vertical="center" textRotation="0" wrapText="0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9" formatCode="\$#,##0"/>
      <alignment horizontal="center" vertical="center" textRotation="0" wrapText="0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\$0.0000"/>
      <alignment horizontal="center" vertical="center" textRotation="0" wrapText="0" indent="0" justifyLastLine="0" shrinkToFit="0" readingOrder="0"/>
      <border diagonalUp="0" diagonalDown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9E9E9E"/>
        </right>
        <top style="thin">
          <color rgb="FF9E9E9E"/>
        </top>
        <bottom style="thin">
          <color rgb="FF9E9E9E"/>
        </bottom>
        <vertical/>
        <horizontal/>
      </border>
    </dxf>
    <dxf>
      <border outline="0">
        <left style="thin">
          <color rgb="FF9E9E9E"/>
        </left>
      </border>
    </dxf>
    <dxf>
      <numFmt numFmtId="168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family val="2"/>
        <scheme val="none"/>
      </font>
      <fill>
        <patternFill patternType="solid">
          <fgColor indexed="64"/>
          <bgColor rgb="FFF3F4F6"/>
        </patternFill>
      </fill>
      <alignment horizontal="center" vertical="bottom" textRotation="0" wrapText="0" indent="0" justifyLastLine="0" shrinkToFit="0" readingOrder="0"/>
    </dxf>
    <dxf>
      <numFmt numFmtId="168" formatCode="&quot;$&quot;#,##0"/>
    </dxf>
    <dxf>
      <numFmt numFmtId="168" formatCode="&quot;$&quot;#,##0"/>
    </dxf>
    <dxf>
      <numFmt numFmtId="168" formatCode="&quot;$&quot;#,##0"/>
    </dxf>
  </dxfs>
  <tableStyles count="2" defaultTableStyle="TableStyleMedium2" defaultPivotStyle="PivotStyleLight16">
    <tableStyle name="PivotTable Style 1" table="0" count="0" xr9:uid="{2E72C135-C668-45C6-86B0-A814D5D17C2D}"/>
    <tableStyle name="PivotTable Style 2" table="0" count="1" xr9:uid="{CBA887EB-0254-43B8-9C25-67A2C48437E5}"/>
  </tableStyles>
  <colors>
    <mruColors>
      <color rgb="FFFFFFBD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56368693134949"/>
          <c:y val="5.122346058282027E-2"/>
          <c:w val="0.79104227554118967"/>
          <c:h val="0.75825221564558909"/>
        </c:manualLayout>
      </c:layout>
      <c:areaChart>
        <c:grouping val="standard"/>
        <c:varyColors val="1"/>
        <c:ser>
          <c:idx val="0"/>
          <c:order val="0"/>
          <c:tx>
            <c:strRef>
              <c:f>Dashboard!$K$10</c:f>
              <c:strCache>
                <c:ptCount val="1"/>
                <c:pt idx="0">
                  <c:v>Utility $/mo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>
              <a:glow rad="406400">
                <a:schemeClr val="accent1"/>
              </a:glow>
              <a:softEdge rad="101600"/>
            </a:effectLst>
            <a:scene3d>
              <a:camera prst="orthographicFront"/>
              <a:lightRig rig="threePt" dir="t"/>
            </a:scene3d>
            <a:sp3d prstMaterial="plastic">
              <a:bevelT prst="relaxedInset"/>
              <a:bevelB prst="relaxedInset"/>
            </a:sp3d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Dashboard!$J$11:$J$36</c15:sqref>
                  </c15:fullRef>
                </c:ext>
              </c:extLst>
              <c:f>(Dashboard!$J$11,Dashboard!$J$13,Dashboard!$J$15,Dashboard!$J$17,Dashboard!$J$20,Dashboard!$J$25,Dashboard!$J$30,Dashboard!$J$35:$J$36)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14</c:v>
                </c:pt>
                <c:pt idx="6">
                  <c:v>19</c:v>
                </c:pt>
                <c:pt idx="7">
                  <c:v>24</c:v>
                </c:pt>
                <c:pt idx="8">
                  <c:v>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Dashboard!$K$11:$K$36</c15:sqref>
                  </c15:fullRef>
                </c:ext>
              </c:extLst>
              <c:f>(Dashboard!$K$11,Dashboard!$K$13,Dashboard!$K$15,Dashboard!$K$17,Dashboard!$K$20,Dashboard!$K$25,Dashboard!$K$30,Dashboard!$K$35:$K$36)</c:f>
              <c:numCache>
                <c:formatCode>"$"#,##0</c:formatCode>
                <c:ptCount val="9"/>
                <c:pt idx="0">
                  <c:v>134.38947368421051</c:v>
                </c:pt>
                <c:pt idx="1">
                  <c:v>147.71319014231577</c:v>
                </c:pt>
                <c:pt idx="2">
                  <c:v>162.35785395879174</c:v>
                </c:pt>
                <c:pt idx="3">
                  <c:v>178.45442723637245</c:v>
                </c:pt>
                <c:pt idx="4">
                  <c:v>205.64036382612269</c:v>
                </c:pt>
                <c:pt idx="5">
                  <c:v>248.43707801526367</c:v>
                </c:pt>
                <c:pt idx="6">
                  <c:v>314.6671988157994</c:v>
                </c:pt>
                <c:pt idx="7">
                  <c:v>398.55341562380823</c:v>
                </c:pt>
                <c:pt idx="8">
                  <c:v>417.84340094000049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7-41DE-AE10-C1D73715C4A0}"/>
            </c:ext>
          </c:extLst>
        </c:ser>
        <c:ser>
          <c:idx val="1"/>
          <c:order val="1"/>
          <c:tx>
            <c:strRef>
              <c:f>Dashboard!$L$10</c:f>
              <c:strCache>
                <c:ptCount val="1"/>
                <c:pt idx="0">
                  <c:v>Solar $/mo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Dashboard!$J$11:$J$36</c15:sqref>
                  </c15:fullRef>
                </c:ext>
              </c:extLst>
              <c:f>(Dashboard!$J$11,Dashboard!$J$13,Dashboard!$J$15,Dashboard!$J$17,Dashboard!$J$20,Dashboard!$J$25,Dashboard!$J$30,Dashboard!$J$35:$J$36)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14</c:v>
                </c:pt>
                <c:pt idx="6">
                  <c:v>19</c:v>
                </c:pt>
                <c:pt idx="7">
                  <c:v>24</c:v>
                </c:pt>
                <c:pt idx="8">
                  <c:v>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Dashboard!$L$11:$L$36</c15:sqref>
                  </c15:fullRef>
                </c:ext>
              </c:extLst>
              <c:f>(Dashboard!$L$11,Dashboard!$L$13,Dashboard!$L$15,Dashboard!$L$17,Dashboard!$L$20,Dashboard!$L$25,Dashboard!$L$30,Dashboard!$L$35:$L$36)</c:f>
              <c:numCache>
                <c:formatCode>"$"#,##0</c:formatCode>
                <c:ptCount val="9"/>
                <c:pt idx="0">
                  <c:v>124.01056140350876</c:v>
                </c:pt>
                <c:pt idx="1">
                  <c:v>132.88073190142316</c:v>
                </c:pt>
                <c:pt idx="2">
                  <c:v>142.38639994958788</c:v>
                </c:pt>
                <c:pt idx="3">
                  <c:v>152.57319763729092</c:v>
                </c:pt>
                <c:pt idx="4">
                  <c:v>169.23847897113481</c:v>
                </c:pt>
                <c:pt idx="5">
                  <c:v>194.32964751684651</c:v>
                </c:pt>
                <c:pt idx="6">
                  <c:v>230.99867997136423</c:v>
                </c:pt>
                <c:pt idx="7">
                  <c:v>274.60224375203444</c:v>
                </c:pt>
                <c:pt idx="8">
                  <c:v>284.26672844104922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47-41DE-AE10-C1D73715C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barChart>
        <c:barDir val="col"/>
        <c:grouping val="clustered"/>
        <c:varyColors val="1"/>
        <c:ser>
          <c:idx val="3"/>
          <c:order val="3"/>
          <c:tx>
            <c:strRef>
              <c:f>Dashboard!$N$10</c:f>
              <c:strCache>
                <c:ptCount val="1"/>
                <c:pt idx="0">
                  <c:v>Savings $/Year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Dashboard!$J$11:$J$36</c15:sqref>
                  </c15:fullRef>
                </c:ext>
              </c:extLst>
              <c:f>(Dashboard!$J$11,Dashboard!$J$13,Dashboard!$J$15,Dashboard!$J$17,Dashboard!$J$20,Dashboard!$J$25,Dashboard!$J$30,Dashboard!$J$35:$J$36)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14</c:v>
                </c:pt>
                <c:pt idx="6">
                  <c:v>19</c:v>
                </c:pt>
                <c:pt idx="7">
                  <c:v>24</c:v>
                </c:pt>
                <c:pt idx="8">
                  <c:v>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Dashboard!$N$11:$N$36</c15:sqref>
                  </c15:fullRef>
                </c:ext>
              </c:extLst>
              <c:f>(Dashboard!$N$11,Dashboard!$N$13,Dashboard!$N$15,Dashboard!$N$17,Dashboard!$N$20,Dashboard!$N$25,Dashboard!$N$30,Dashboard!$N$35:$N$36)</c:f>
              <c:numCache>
                <c:formatCode>"$"#,##0</c:formatCode>
                <c:ptCount val="9"/>
                <c:pt idx="0">
                  <c:v>124.54694736842112</c:v>
                </c:pt>
                <c:pt idx="1">
                  <c:v>452.83626588018524</c:v>
                </c:pt>
                <c:pt idx="2">
                  <c:v>900.22760350765384</c:v>
                </c:pt>
                <c:pt idx="3">
                  <c:v>1484.6938889783526</c:v>
                </c:pt>
                <c:pt idx="4">
                  <c:v>2663.251642860816</c:v>
                </c:pt>
                <c:pt idx="5">
                  <c:v>4924.4114518015449</c:v>
                </c:pt>
                <c:pt idx="6">
                  <c:v>9190.463709644644</c:v>
                </c:pt>
                <c:pt idx="7">
                  <c:v>15601.925352453021</c:v>
                </c:pt>
                <c:pt idx="8">
                  <c:v>17204.845422440438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2DCE-4CBC-9A32-34A2EEFEB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09095840"/>
        <c:axId val="110909536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Dashboard!$M$10</c15:sqref>
                        </c15:formulaRef>
                      </c:ext>
                    </c:extLst>
                    <c:strCache>
                      <c:ptCount val="1"/>
                      <c:pt idx="0">
                        <c:v>Savings $/mo</c:v>
                      </c:pt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1"/>
                <c:cat>
                  <c:numRef>
                    <c:extLst>
                      <c:ext uri="{02D57815-91ED-43cb-92C2-25804820EDAC}">
                        <c15:fullRef>
                          <c15:sqref>Dashboard!$J$11:$J$36</c15:sqref>
                        </c15:fullRef>
                        <c15:formulaRef>
                          <c15:sqref>(Dashboard!$J$11,Dashboard!$J$13,Dashboard!$J$15,Dashboard!$J$17,Dashboard!$J$20,Dashboard!$J$25,Dashboard!$J$30,Dashboard!$J$35:$J$36)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3</c:v>
                      </c:pt>
                      <c:pt idx="2">
                        <c:v>5</c:v>
                      </c:pt>
                      <c:pt idx="3">
                        <c:v>7</c:v>
                      </c:pt>
                      <c:pt idx="4">
                        <c:v>10</c:v>
                      </c:pt>
                      <c:pt idx="5">
                        <c:v>14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Dashboard!$M$11:$M$36</c15:sqref>
                        </c15:fullRef>
                        <c15:formulaRef>
                          <c15:sqref>(Dashboard!$M$11,Dashboard!$M$13,Dashboard!$M$15,Dashboard!$M$17,Dashboard!$M$20,Dashboard!$M$25,Dashboard!$M$30,Dashboard!$M$35:$M$36)</c15:sqref>
                        </c15:formulaRef>
                      </c:ext>
                    </c:extLst>
                    <c:numCache>
                      <c:formatCode>"$"#,##0</c:formatCode>
                      <c:ptCount val="9"/>
                      <c:pt idx="0">
                        <c:v>10.37891228070176</c:v>
                      </c:pt>
                      <c:pt idx="1">
                        <c:v>14.832458240892626</c:v>
                      </c:pt>
                      <c:pt idx="2">
                        <c:v>19.971454009203853</c:v>
                      </c:pt>
                      <c:pt idx="3">
                        <c:v>25.881229599081525</c:v>
                      </c:pt>
                      <c:pt idx="4">
                        <c:v>36.401884854987884</c:v>
                      </c:pt>
                      <c:pt idx="5">
                        <c:v>54.10743049841718</c:v>
                      </c:pt>
                      <c:pt idx="6">
                        <c:v>83.668518844435155</c:v>
                      </c:pt>
                      <c:pt idx="7">
                        <c:v>123.95117187177379</c:v>
                      </c:pt>
                      <c:pt idx="8">
                        <c:v>133.5766724989513</c:v>
                      </c:pt>
                    </c:numCache>
                  </c:numRef>
                </c:val>
                <c:extLst>
                  <c:ext xmlns:c14="http://schemas.microsoft.com/office/drawing/2007/8/2/chart" uri="{6F2FDCE9-48DA-4B69-8628-5D25D57E5C99}">
                    <c14:invertSolidFillFmt>
                      <c14:spPr xmlns:c14="http://schemas.microsoft.com/office/drawing/2007/8/2/chart">
                        <a:solidFill>
                          <a:srgbClr val="FFFFFF"/>
                        </a:solidFill>
                        <a:ln>
                          <a:noFill/>
                        </a:ln>
                        <a:effectLst>
                          <a:outerShdw blurRad="57150" dist="19050" dir="5400000" algn="ctr" rotWithShape="0">
                            <a:srgbClr val="000000">
                              <a:alpha val="63000"/>
                            </a:srgbClr>
                          </a:outerShdw>
                        </a:effectLst>
                      </c14:spPr>
                    </c14:invertSolidFillFmt>
                  </c:ext>
                  <c:ext xmlns:c16="http://schemas.microsoft.com/office/drawing/2014/chart" uri="{C3380CC4-5D6E-409C-BE32-E72D297353CC}">
                    <c16:uniqueId val="{00000001-2DCE-4CBC-9A32-34A2EEFEB27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Dashboard!$O$10</c15:sqref>
                        </c15:formulaRef>
                      </c:ext>
                    </c:extLst>
                    <c:strCache>
                      <c:ptCount val="1"/>
                      <c:pt idx="0">
                        <c:v>% Saved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tint val="54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tint val="54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tint val="54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Dashboard!$J$11:$J$36</c15:sqref>
                        </c15:fullRef>
                        <c15:formulaRef>
                          <c15:sqref>(Dashboard!$J$11,Dashboard!$J$13,Dashboard!$J$15,Dashboard!$J$17,Dashboard!$J$20,Dashboard!$J$25,Dashboard!$J$30,Dashboard!$J$35:$J$36)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3</c:v>
                      </c:pt>
                      <c:pt idx="2">
                        <c:v>5</c:v>
                      </c:pt>
                      <c:pt idx="3">
                        <c:v>7</c:v>
                      </c:pt>
                      <c:pt idx="4">
                        <c:v>10</c:v>
                      </c:pt>
                      <c:pt idx="5">
                        <c:v>14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Dashboard!$O$11:$O$36</c15:sqref>
                        </c15:fullRef>
                        <c15:formulaRef>
                          <c15:sqref>(Dashboard!$O$11,Dashboard!$O$13,Dashboard!$O$15,Dashboard!$O$17,Dashboard!$O$20,Dashboard!$O$25,Dashboard!$O$30,Dashboard!$O$35:$O$36)</c15:sqref>
                        </c15:formulaRef>
                      </c:ext>
                    </c:extLst>
                    <c:numCache>
                      <c:formatCode>0%</c:formatCode>
                      <c:ptCount val="9"/>
                      <c:pt idx="0">
                        <c:v>8.3693777072184838E-2</c:v>
                      </c:pt>
                      <c:pt idx="1">
                        <c:v>0.11162234003870486</c:v>
                      </c:pt>
                      <c:pt idx="2">
                        <c:v>0.1402623706777808</c:v>
                      </c:pt>
                      <c:pt idx="3">
                        <c:v>0.16963156045669581</c:v>
                      </c:pt>
                      <c:pt idx="4">
                        <c:v>0.21509224779310721</c:v>
                      </c:pt>
                      <c:pt idx="5">
                        <c:v>0.27843116678182933</c:v>
                      </c:pt>
                      <c:pt idx="6">
                        <c:v>0.36220345005784083</c:v>
                      </c:pt>
                      <c:pt idx="7">
                        <c:v>0.45138441033169996</c:v>
                      </c:pt>
                      <c:pt idx="8">
                        <c:v>0.46989907412485743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5-2DCE-4CBC-9A32-34A2EEFEB27C}"/>
                  </c:ext>
                </c:extLst>
              </c15:ser>
            </c15:filteredBarSeries>
          </c:ext>
        </c:extLst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5.7539731051344807E-2"/>
              <c:y val="0.897449439487050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$/mo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11090953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SAVINGS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095840"/>
        <c:crosses val="max"/>
        <c:crossBetween val="between"/>
      </c:valAx>
      <c:catAx>
        <c:axId val="1109095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90953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[1]Dashboard!$AF$37</c:f>
              <c:strCache>
                <c:ptCount val="1"/>
              </c:strCache>
            </c:strRef>
          </c:tx>
          <c:spPr>
            <a:ln w="38000">
              <a:solidFill>
                <a:srgbClr val="22C55E"/>
              </a:solidFill>
              <a:prstDash val="solid"/>
            </a:ln>
          </c:spPr>
          <c:marker>
            <c:symbol val="none"/>
          </c:marker>
          <c:val>
            <c:numRef>
              <c:f>[1]Dashboard!$AF$38:$AF$62</c:f>
              <c:numCache>
                <c:formatCode>General</c:formatCode>
                <c:ptCount val="25"/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[1]Dashboard!$AB$38:$AB$62</c15:sqref>
                        </c15:formulaRef>
                      </c:ext>
                    </c:extLst>
                    <c:numCache>
                      <c:formatCode>General</c:formatCode>
                      <c:ptCount val="25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8FD2-40EB-83ED-A4E132D23E39}"/>
            </c:ext>
          </c:extLst>
        </c:ser>
        <c:ser>
          <c:idx val="1"/>
          <c:order val="1"/>
          <c:tx>
            <c:strRef>
              <c:f>[1]Dashboard!$AH$37</c:f>
              <c:strCache>
                <c:ptCount val="1"/>
              </c:strCache>
            </c:strRef>
          </c:tx>
          <c:spPr>
            <a:ln w="38000">
              <a:solidFill>
                <a:srgbClr val="D97706"/>
              </a:solidFill>
              <a:prstDash val="solid"/>
            </a:ln>
          </c:spPr>
          <c:marker>
            <c:symbol val="none"/>
          </c:marker>
          <c:val>
            <c:numRef>
              <c:f>[1]Dashboard!$AH$38:$AH$62</c:f>
              <c:numCache>
                <c:formatCode>General</c:formatCode>
                <c:ptCount val="25"/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[1]Dashboard!$AB$38:$AB$62</c15:sqref>
                        </c15:formulaRef>
                      </c:ext>
                    </c:extLst>
                    <c:numCache>
                      <c:formatCode>General</c:formatCode>
                      <c:ptCount val="25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8FD2-40EB-83ED-A4E132D23E39}"/>
            </c:ext>
          </c:extLst>
        </c:ser>
        <c:ser>
          <c:idx val="2"/>
          <c:order val="2"/>
          <c:tx>
            <c:strRef>
              <c:f>[1]Dashboard!$AJ$37</c:f>
              <c:strCache>
                <c:ptCount val="1"/>
              </c:strCache>
            </c:strRef>
          </c:tx>
          <c:spPr>
            <a:ln w="38000">
              <a:solidFill>
                <a:srgbClr val="B91C1C"/>
              </a:solidFill>
              <a:prstDash val="solid"/>
            </a:ln>
          </c:spPr>
          <c:marker>
            <c:symbol val="none"/>
          </c:marker>
          <c:val>
            <c:numRef>
              <c:f>[1]Dashboard!$AJ$38:$AJ$62</c:f>
              <c:numCache>
                <c:formatCode>General</c:formatCode>
                <c:ptCount val="25"/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[1]Dashboard!$AB$38:$AB$62</c15:sqref>
                        </c15:formulaRef>
                      </c:ext>
                    </c:extLst>
                    <c:numCache>
                      <c:formatCode>General</c:formatCode>
                      <c:ptCount val="25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8FD2-40EB-83ED-A4E132D23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 Savings ($)</a:t>
                </a:r>
              </a:p>
            </c:rich>
          </c:tx>
          <c:overlay val="1"/>
        </c:title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Confidence Gauge</a:t>
            </a:r>
          </a:p>
        </c:rich>
      </c:tx>
      <c:layout>
        <c:manualLayout>
          <c:xMode val="edge"/>
          <c:yMode val="edge"/>
          <c:x val="9.9687356696374352E-2"/>
          <c:y val="4.50137512715216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42761485884352"/>
          <c:y val="0.17526780444310489"/>
          <c:w val="0.54987616320687183"/>
          <c:h val="0.83728146775338008"/>
        </c:manualLayout>
      </c:layout>
      <c:pieChart>
        <c:varyColors val="1"/>
        <c:ser>
          <c:idx val="0"/>
          <c:order val="0"/>
          <c:tx>
            <c:strRef>
              <c:f>Dashboard!$V$10</c:f>
              <c:strCache>
                <c:ptCount val="1"/>
                <c:pt idx="0">
                  <c:v>Gauge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5B-4180-A4BE-0C6FD76B74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5B-4180-A4BE-0C6FD76B74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5B-4180-A4BE-0C6FD76B7490}"/>
              </c:ext>
            </c:extLst>
          </c:dPt>
          <c:val>
            <c:numRef>
              <c:f>Dashboard!$V$11:$V$12</c:f>
              <c:numCache>
                <c:formatCode>General</c:formatCode>
                <c:ptCount val="2"/>
                <c:pt idx="0">
                  <c:v>57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5B-4180-A4BE-0C6FD76B7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C00000">
            <a:alpha val="0"/>
          </a:srgbClr>
        </a:solidFill>
        <a:ln>
          <a:noFill/>
        </a:ln>
        <a:effectLst/>
        <a:scene3d>
          <a:camera prst="orthographicFront"/>
          <a:lightRig rig="threePt" dir="t"/>
        </a:scene3d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prst="relaxedIns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1/relationships/webextension" Target="../webextensions/webextension2.xml"/><Relationship Id="rId5" Type="http://schemas.openxmlformats.org/officeDocument/2006/relationships/image" Target="../media/image1.png"/><Relationship Id="rId4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433552</xdr:rowOff>
    </xdr:from>
    <xdr:ext cx="4864516" cy="258160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1BE3AE-895E-473F-A5D6-55B438DA4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42</xdr:row>
      <xdr:rowOff>0</xdr:rowOff>
    </xdr:from>
    <xdr:ext cx="2880000" cy="16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FA0AF3-6351-4AB4-B6DA-6E100ED88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27</xdr:row>
      <xdr:rowOff>0</xdr:rowOff>
    </xdr:from>
    <xdr:ext cx="2847974" cy="1990725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50C9D31-E38B-417E-9B43-F010C78A6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0</xdr:col>
      <xdr:colOff>466311</xdr:colOff>
      <xdr:row>4</xdr:row>
      <xdr:rowOff>22412</xdr:rowOff>
    </xdr:from>
    <xdr:to>
      <xdr:col>5</xdr:col>
      <xdr:colOff>1023471</xdr:colOff>
      <xdr:row>26</xdr:row>
      <xdr:rowOff>167239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9" name="Add-in 8" title="Modern Charts">
              <a:extLst>
                <a:ext uri="{FF2B5EF4-FFF2-40B4-BE49-F238E27FC236}">
                  <a16:creationId xmlns:a16="http://schemas.microsoft.com/office/drawing/2014/main" id="{D37E88F8-6C7F-D88C-3F08-ADC39C6613A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4"/>
            </a:graphicData>
          </a:graphic>
        </xdr:graphicFrame>
      </mc:Choice>
      <mc:Fallback>
        <xdr:pic>
          <xdr:nvPicPr>
            <xdr:cNvPr id="9" name="Add-in 8" title="Modern Charts">
              <a:extLst>
                <a:ext uri="{FF2B5EF4-FFF2-40B4-BE49-F238E27FC236}">
                  <a16:creationId xmlns:a16="http://schemas.microsoft.com/office/drawing/2014/main" id="{D37E88F8-6C7F-D88C-3F08-ADC39C6613A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1197012</xdr:colOff>
      <xdr:row>39</xdr:row>
      <xdr:rowOff>80287</xdr:rowOff>
    </xdr:from>
    <xdr:to>
      <xdr:col>14</xdr:col>
      <xdr:colOff>175846</xdr:colOff>
      <xdr:row>69</xdr:row>
      <xdr:rowOff>205153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12" name="Add-in 11">
              <a:extLst>
                <a:ext uri="{FF2B5EF4-FFF2-40B4-BE49-F238E27FC236}">
                  <a16:creationId xmlns:a16="http://schemas.microsoft.com/office/drawing/2014/main" id="{518912F7-8726-0436-547E-8AB9559CB1EC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6"/>
            </a:graphicData>
          </a:graphic>
        </xdr:graphicFrame>
      </mc:Choice>
      <mc:Fallback>
        <xdr:pic>
          <xdr:nvPicPr>
            <xdr:cNvPr id="12" name="Add-in 11">
              <a:extLst>
                <a:ext uri="{FF2B5EF4-FFF2-40B4-BE49-F238E27FC236}">
                  <a16:creationId xmlns:a16="http://schemas.microsoft.com/office/drawing/2014/main" id="{518912F7-8726-0436-547E-8AB9559CB1E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aye\Downloads\ComparisonCalcA_Dashboard_v18_ExcelOptimiz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"/>
      <sheetName val="Dashboard"/>
      <sheetName val="Inputs"/>
      <sheetName val="Presets"/>
      <sheetName val="Model"/>
    </sheetNames>
    <sheetDataSet>
      <sheetData sheetId="0"/>
      <sheetData sheetId="1">
        <row r="10">
          <cell r="K10" t="str">
            <v>Utility</v>
          </cell>
          <cell r="L10" t="str">
            <v>Solar</v>
          </cell>
          <cell r="N10" t="str">
            <v>CumSavings</v>
          </cell>
        </row>
        <row r="11">
          <cell r="J11">
            <v>1</v>
          </cell>
          <cell r="K11"/>
          <cell r="L11"/>
          <cell r="N11"/>
        </row>
        <row r="12">
          <cell r="J12">
            <v>2</v>
          </cell>
          <cell r="K12"/>
          <cell r="L12"/>
          <cell r="N12"/>
          <cell r="S12" t="str">
            <v>Utility</v>
          </cell>
          <cell r="T12" t="str">
            <v>Solar</v>
          </cell>
        </row>
        <row r="13">
          <cell r="J13">
            <v>3</v>
          </cell>
          <cell r="K13"/>
          <cell r="L13"/>
          <cell r="N13"/>
          <cell r="R13">
            <v>1</v>
          </cell>
          <cell r="S13"/>
          <cell r="T13"/>
        </row>
        <row r="14">
          <cell r="J14">
            <v>4</v>
          </cell>
          <cell r="K14"/>
          <cell r="L14"/>
          <cell r="N14"/>
          <cell r="R14">
            <v>5</v>
          </cell>
          <cell r="S14"/>
          <cell r="T14"/>
        </row>
        <row r="15">
          <cell r="J15">
            <v>5</v>
          </cell>
          <cell r="K15"/>
          <cell r="L15"/>
          <cell r="N15"/>
          <cell r="R15">
            <v>10</v>
          </cell>
          <cell r="S15"/>
          <cell r="T15"/>
        </row>
        <row r="16">
          <cell r="J16">
            <v>6</v>
          </cell>
          <cell r="K16"/>
          <cell r="L16"/>
          <cell r="N16"/>
        </row>
        <row r="17">
          <cell r="J17">
            <v>7</v>
          </cell>
          <cell r="K17"/>
          <cell r="L17"/>
          <cell r="N17"/>
        </row>
        <row r="18">
          <cell r="J18">
            <v>8</v>
          </cell>
          <cell r="K18"/>
          <cell r="L18"/>
          <cell r="N18"/>
        </row>
        <row r="19">
          <cell r="J19">
            <v>9</v>
          </cell>
          <cell r="K19"/>
          <cell r="L19"/>
          <cell r="N19"/>
        </row>
        <row r="20">
          <cell r="J20">
            <v>10</v>
          </cell>
          <cell r="K20"/>
          <cell r="L20"/>
          <cell r="N20"/>
        </row>
        <row r="21">
          <cell r="J21">
            <v>11</v>
          </cell>
          <cell r="K21"/>
          <cell r="L21"/>
          <cell r="N21"/>
          <cell r="W21"/>
        </row>
        <row r="22">
          <cell r="J22">
            <v>12</v>
          </cell>
          <cell r="K22"/>
          <cell r="L22"/>
          <cell r="N22"/>
          <cell r="W22"/>
        </row>
        <row r="23">
          <cell r="J23">
            <v>13</v>
          </cell>
          <cell r="K23"/>
          <cell r="L23"/>
          <cell r="N23"/>
          <cell r="W23"/>
        </row>
        <row r="24">
          <cell r="J24">
            <v>14</v>
          </cell>
          <cell r="K24"/>
          <cell r="L24"/>
          <cell r="N24"/>
        </row>
        <row r="25">
          <cell r="J25">
            <v>15</v>
          </cell>
          <cell r="K25"/>
          <cell r="L25"/>
          <cell r="N25"/>
        </row>
        <row r="26">
          <cell r="J26">
            <v>16</v>
          </cell>
          <cell r="K26"/>
          <cell r="L26"/>
          <cell r="N26"/>
        </row>
        <row r="27">
          <cell r="J27">
            <v>17</v>
          </cell>
          <cell r="K27"/>
          <cell r="L27"/>
          <cell r="N27"/>
        </row>
        <row r="28">
          <cell r="J28">
            <v>18</v>
          </cell>
          <cell r="K28"/>
          <cell r="L28"/>
          <cell r="N28"/>
        </row>
        <row r="29">
          <cell r="J29">
            <v>19</v>
          </cell>
          <cell r="K29"/>
          <cell r="L29"/>
          <cell r="N29"/>
        </row>
        <row r="30">
          <cell r="J30">
            <v>20</v>
          </cell>
          <cell r="K30"/>
          <cell r="L30"/>
          <cell r="N30"/>
        </row>
        <row r="31">
          <cell r="J31">
            <v>21</v>
          </cell>
          <cell r="K31"/>
          <cell r="L31"/>
          <cell r="N31"/>
        </row>
        <row r="32">
          <cell r="J32">
            <v>22</v>
          </cell>
          <cell r="K32"/>
          <cell r="L32"/>
          <cell r="N32"/>
        </row>
        <row r="33">
          <cell r="J33">
            <v>23</v>
          </cell>
          <cell r="K33"/>
          <cell r="L33"/>
          <cell r="N33"/>
        </row>
        <row r="34">
          <cell r="J34">
            <v>24</v>
          </cell>
          <cell r="K34"/>
          <cell r="L34"/>
          <cell r="N34"/>
        </row>
        <row r="35">
          <cell r="J35">
            <v>25</v>
          </cell>
          <cell r="K35"/>
          <cell r="L35"/>
          <cell r="N35"/>
        </row>
        <row r="36">
          <cell r="J36">
            <v>26</v>
          </cell>
          <cell r="K36"/>
          <cell r="L36"/>
          <cell r="N36"/>
        </row>
        <row r="37">
          <cell r="J37">
            <v>27</v>
          </cell>
          <cell r="K37"/>
          <cell r="L37"/>
          <cell r="N37"/>
        </row>
        <row r="38">
          <cell r="J38">
            <v>28</v>
          </cell>
          <cell r="K38"/>
          <cell r="L38"/>
          <cell r="N38"/>
        </row>
        <row r="39">
          <cell r="J39">
            <v>29</v>
          </cell>
          <cell r="K39"/>
          <cell r="L39"/>
          <cell r="N39"/>
        </row>
        <row r="40">
          <cell r="J40">
            <v>30</v>
          </cell>
          <cell r="K40"/>
          <cell r="L40"/>
          <cell r="N40"/>
        </row>
      </sheetData>
      <sheetData sheetId="2">
        <row r="6">
          <cell r="H6">
            <v>1113</v>
          </cell>
        </row>
      </sheetData>
      <sheetData sheetId="3"/>
      <sheetData sheetId="4">
        <row r="2">
          <cell r="D2"/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A36899-3B42-48C7-BD18-4CDD62172177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Utility $/mo" tableColumnId="2"/>
      <queryTableField id="3" name="Solar $/mo" tableColumnId="3"/>
      <queryTableField id="4" name="Savings $/mo" tableColumnId="4"/>
      <queryTableField id="5" name="Savings $/Year" tableColumnId="5"/>
      <queryTableField id="6" name="% Save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7CF150-7E3C-4325-AF90-DD5C0E96B4A2}" name="Yearly_Pricing" displayName="Yearly_Pricing" ref="A1:F26" tableType="queryTable" totalsRowShown="0">
  <autoFilter ref="A1:F26" xr:uid="{B87CF150-7E3C-4325-AF90-DD5C0E96B4A2}"/>
  <tableColumns count="6">
    <tableColumn id="1" xr3:uid="{F34CB69B-BE43-4B41-800A-5B6C26F34885}" uniqueName="1" name="Year" queryTableFieldId="1"/>
    <tableColumn id="2" xr3:uid="{2FD4776D-9D83-4F86-8C6F-379309EDE717}" uniqueName="2" name="Utility $/mo" queryTableFieldId="2"/>
    <tableColumn id="3" xr3:uid="{D58D89C7-DEE7-485C-AE26-9B255BCBD730}" uniqueName="3" name="Solar $/mo" queryTableFieldId="3"/>
    <tableColumn id="4" xr3:uid="{152AA2E6-88F5-4C6D-9E66-8E708ED3E3CC}" uniqueName="4" name="Savings $/mo" queryTableFieldId="4"/>
    <tableColumn id="5" xr3:uid="{1F33EDF5-8DD0-4DE2-B360-68C3D6074620}" uniqueName="5" name="Savings $/Year" queryTableFieldId="5"/>
    <tableColumn id="6" xr3:uid="{61FA984A-D928-4BB5-920E-F5D945A19546}" uniqueName="6" name="% Saved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AFB29-B698-4387-BCE5-9EA6F57D9B91}" name="Table1" displayName="Table1" ref="J10:O36" totalsRowShown="0" headerRowDxfId="20" headerRowCellStyle="Normal 2" dataCellStyle="Normal 2">
  <autoFilter ref="J10:O36" xr:uid="{B39AFB29-B698-4387-BCE5-9EA6F57D9B91}"/>
  <tableColumns count="6">
    <tableColumn id="1" xr3:uid="{FD31A582-A6A1-4FF4-8C1C-F0C9EC67261C}" name="Year" dataCellStyle="Normal 2"/>
    <tableColumn id="2" xr3:uid="{09B2038C-E497-46A0-97B8-29D25B5B4E07}" name="Utility $/mo" dataDxfId="23" dataCellStyle="Normal 2">
      <calculatedColumnFormula>IF(1&gt;Inputs!$E$12,"",Model!D4/12)</calculatedColumnFormula>
    </tableColumn>
    <tableColumn id="3" xr3:uid="{37F05AA0-7F60-42C3-BAE8-2BB8F6C135E0}" name="Solar $/mo" dataDxfId="22" dataCellStyle="Normal 2">
      <calculatedColumnFormula>Model!E4/12</calculatedColumnFormula>
    </tableColumn>
    <tableColumn id="4" xr3:uid="{A10DD39E-48CD-4570-BD2B-DCF8C66A0940}" name="Savings $/mo" dataDxfId="21" dataCellStyle="Normal 2">
      <calculatedColumnFormula>Model!F4/12</calculatedColumnFormula>
    </tableColumn>
    <tableColumn id="5" xr3:uid="{DCB343D2-7E48-44A8-863A-D734DFDACF7B}" name="Savings $/Year" dataDxfId="19" dataCellStyle="Normal 2">
      <calculatedColumnFormula>Model!J4</calculatedColumnFormula>
    </tableColumn>
    <tableColumn id="6" xr3:uid="{AFF2B78E-43D3-4E63-8091-F65CD6355C05}" name="% Saved" dataCellStyle="Percent">
      <calculatedColumnFormula>Model!P4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01C3AA-C45F-4029-9894-59F24DEAF227}" name="Table3" displayName="Table3" ref="A3:P28" totalsRowShown="0" headerRowDxfId="1" tableBorderDxfId="18">
  <autoFilter ref="A3:P28" xr:uid="{9001C3AA-C45F-4029-9894-59F24DEAF2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8D19607-4B87-4620-A760-F5445F51BC59}" name="Year" dataDxfId="17"/>
    <tableColumn id="2" xr3:uid="{DF899EFC-D294-4953-AF08-73302C6DF49C}" name="Utility Rate ($/kWh)" dataDxfId="16">
      <calculatedColumnFormula>IF($A4&gt;Inputs!$E$12,"",Inputs!$E$6*(1+Inputs!$E$8)^($A4-1))</calculatedColumnFormula>
    </tableColumn>
    <tableColumn id="3" xr3:uid="{443C0AFD-D5A9-48E4-B96B-1D66D8910D73}" name="Annual kWh" dataDxfId="15">
      <calculatedColumnFormula>IF($A4&gt;Inputs!$E$12,"",Inputs!$E$7*12)</calculatedColumnFormula>
    </tableColumn>
    <tableColumn id="4" xr3:uid="{5301D5EE-2439-435F-8F8A-BCE6648330E9}" name="Utility Cost ($)" dataDxfId="14">
      <calculatedColumnFormula>B4*C4</calculatedColumnFormula>
    </tableColumn>
    <tableColumn id="5" xr3:uid="{F6B653A8-48DB-4F3D-8C30-4E3E98BFE23E}" name="Cost w Solar ($)" dataDxfId="13">
      <calculatedColumnFormula>(B4*C4*(1-Inputs!$E$13))+(Inputs!$E$10*12-Inputs!$E$14)*((1+Inputs!$E$11)^($A3))</calculatedColumnFormula>
    </tableColumn>
    <tableColumn id="6" xr3:uid="{307D5DC8-8DD3-4BFA-9C20-2FD72A1345DC}" name="Savings Per Year ($)" dataDxfId="12">
      <calculatedColumnFormula>D4-E4</calculatedColumnFormula>
    </tableColumn>
    <tableColumn id="7" xr3:uid="{5558A8E7-9D88-4166-9941-67F4335226FE}" name="CPI" dataDxfId="11" dataCellStyle="Percent">
      <calculatedColumnFormula>(1+Inputs!$E$9)^($A4-1)-100%</calculatedColumnFormula>
    </tableColumn>
    <tableColumn id="8" xr3:uid="{A848782C-B12C-4380-B891-5EFE5CB8ED96}" name="Utility Cost(Inf. Adj.)" dataDxfId="10">
      <calculatedColumnFormula>D4/(G4+100%)</calculatedColumnFormula>
    </tableColumn>
    <tableColumn id="9" xr3:uid="{E0F5667F-AA2B-40DC-9DF5-2A614D5BD827}" name="Solar+Utility(Inf. Adj." dataDxfId="9">
      <calculatedColumnFormula>E4/(G4+100%)</calculatedColumnFormula>
    </tableColumn>
    <tableColumn id="10" xr3:uid="{CEA2FCC4-670A-49DC-95B7-EBF9C212830C}" name="Cumulative Savings" dataDxfId="8">
      <calculatedColumnFormula>J3+F4</calculatedColumnFormula>
    </tableColumn>
    <tableColumn id="11" xr3:uid="{BB016B4F-86BB-40A8-8637-F2F4A630879E}" name="Savings, Inf. Adj." dataDxfId="7">
      <calculatedColumnFormula>H4-I4</calculatedColumnFormula>
    </tableColumn>
    <tableColumn id="12" xr3:uid="{22BBDD06-231D-48D1-AB97-265CB99D63D2}" name="Lifetime Savings, Inf. Adj. ($)" dataDxfId="6">
      <calculatedColumnFormula>L3+K4</calculatedColumnFormula>
    </tableColumn>
    <tableColumn id="13" xr3:uid="{4D478D0F-24A1-467D-9DE1-716305CD7F52}" name="solar/mo w/ rebate" dataDxfId="5">
      <calculatedColumnFormula>E4/12</calculatedColumnFormula>
    </tableColumn>
    <tableColumn id="14" xr3:uid="{EB70DCAD-24FC-478E-887F-3424F8B39F7B}" name="solar/mo before rebate" dataDxfId="4">
      <calculatedColumnFormula>(E4+800)/12</calculatedColumnFormula>
    </tableColumn>
    <tableColumn id="15" xr3:uid="{BA32ED34-AB0E-4F57-AA51-3C6FBBDAC44A}" name="Avg Utility/mo" dataDxfId="3">
      <calculatedColumnFormula>D4/12</calculatedColumnFormula>
    </tableColumn>
    <tableColumn id="16" xr3:uid="{E8AB5D82-51EB-439F-86D9-EDF6136ADA6D}" name="% Savings" dataDxfId="2">
      <calculatedColumnFormula>D4/E4-1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webextension1.xml><?xml version="1.0" encoding="utf-8"?>
<we:webextension xmlns:we="http://schemas.microsoft.com/office/webextensions/webextension/2010/11" id="{D37E88F8-6C7F-D88C-3F08-ADC39C6613A0}">
  <we:reference id="wa104379231" version="8.0.0.0" store="en-US" storeType="OMEX"/>
  <we:alternateReferences>
    <we:reference id="wa104379231" version="8.0.0.0" store="wa104379231" storeType="OMEX"/>
  </we:alternateReferences>
  <we:properties/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518912F7-8726-0436-547E-8AB9559CB1EC}">
  <we:reference id="wa104379231" version="8.0.0.0" store="en-US" storeType="OMEX"/>
  <we:alternateReferences>
    <we:reference id="WA104379231" version="8.0.0.0" store="" storeType="OMEX"/>
  </we:alternateReferences>
  <we:properties/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1694-1C54-44CC-8D37-173148FDACB4}">
  <dimension ref="A1:F26"/>
  <sheetViews>
    <sheetView workbookViewId="0">
      <selection activeCell="I9" sqref="I9"/>
    </sheetView>
  </sheetViews>
  <sheetFormatPr defaultRowHeight="14.25" x14ac:dyDescent="0.2"/>
  <cols>
    <col min="1" max="1" width="7" bestFit="1" customWidth="1"/>
    <col min="2" max="2" width="12.5" bestFit="1" customWidth="1"/>
    <col min="3" max="3" width="12.125" bestFit="1" customWidth="1"/>
    <col min="4" max="4" width="14.625" bestFit="1" customWidth="1"/>
    <col min="5" max="5" width="16.25" bestFit="1" customWidth="1"/>
    <col min="6" max="6" width="11.875" bestFit="1" customWidth="1"/>
  </cols>
  <sheetData>
    <row r="1" spans="1:6" x14ac:dyDescent="0.2">
      <c r="A1" t="s">
        <v>3</v>
      </c>
      <c r="B1" t="s">
        <v>105</v>
      </c>
      <c r="C1" t="s">
        <v>106</v>
      </c>
      <c r="D1" t="s">
        <v>107</v>
      </c>
      <c r="E1" t="s">
        <v>164</v>
      </c>
      <c r="F1" t="s">
        <v>165</v>
      </c>
    </row>
    <row r="2" spans="1:6" x14ac:dyDescent="0.2">
      <c r="A2">
        <v>1</v>
      </c>
      <c r="B2">
        <v>134.3895</v>
      </c>
      <c r="C2">
        <v>124.0106</v>
      </c>
      <c r="D2">
        <v>10.3789</v>
      </c>
      <c r="E2">
        <v>124.54689999999999</v>
      </c>
      <c r="F2">
        <v>8.3693777072184838E-2</v>
      </c>
    </row>
    <row r="3" spans="1:6" x14ac:dyDescent="0.2">
      <c r="A3">
        <v>2</v>
      </c>
      <c r="B3">
        <v>140.8939</v>
      </c>
      <c r="C3">
        <v>128.3689</v>
      </c>
      <c r="D3">
        <v>12.525</v>
      </c>
      <c r="E3">
        <v>274.84679999999997</v>
      </c>
      <c r="F3">
        <v>9.7570214744851835E-2</v>
      </c>
    </row>
    <row r="4" spans="1:6" x14ac:dyDescent="0.2">
      <c r="A4">
        <v>3</v>
      </c>
      <c r="B4">
        <v>147.7132</v>
      </c>
      <c r="C4">
        <v>132.88069999999999</v>
      </c>
      <c r="D4">
        <v>14.8325</v>
      </c>
      <c r="E4">
        <v>452.83629999999999</v>
      </c>
      <c r="F4">
        <v>0.11162234003870486</v>
      </c>
    </row>
    <row r="5" spans="1:6" x14ac:dyDescent="0.2">
      <c r="A5">
        <v>4</v>
      </c>
      <c r="B5">
        <v>154.86250000000001</v>
      </c>
      <c r="C5">
        <v>137.5514</v>
      </c>
      <c r="D5">
        <v>17.311199999999999</v>
      </c>
      <c r="E5">
        <v>660.5702</v>
      </c>
      <c r="F5">
        <v>0.12585232586336081</v>
      </c>
    </row>
    <row r="6" spans="1:6" x14ac:dyDescent="0.2">
      <c r="A6">
        <v>5</v>
      </c>
      <c r="B6">
        <v>162.3579</v>
      </c>
      <c r="C6">
        <v>142.38640000000001</v>
      </c>
      <c r="D6">
        <v>19.971499999999999</v>
      </c>
      <c r="E6">
        <v>900.22760000000005</v>
      </c>
      <c r="F6">
        <v>0.1402623706777808</v>
      </c>
    </row>
    <row r="7" spans="1:6" x14ac:dyDescent="0.2">
      <c r="A7">
        <v>6</v>
      </c>
      <c r="B7">
        <v>170.21600000000001</v>
      </c>
      <c r="C7">
        <v>147.39169999999999</v>
      </c>
      <c r="D7">
        <v>22.824300000000001</v>
      </c>
      <c r="E7">
        <v>1174.1190999999999</v>
      </c>
      <c r="F7">
        <v>0.15485469875633084</v>
      </c>
    </row>
    <row r="8" spans="1:6" x14ac:dyDescent="0.2">
      <c r="A8">
        <v>7</v>
      </c>
      <c r="B8">
        <v>178.45439999999999</v>
      </c>
      <c r="C8">
        <v>152.57320000000001</v>
      </c>
      <c r="D8">
        <v>25.8812</v>
      </c>
      <c r="E8">
        <v>1484.6939</v>
      </c>
      <c r="F8">
        <v>0.16963156045669581</v>
      </c>
    </row>
    <row r="9" spans="1:6" x14ac:dyDescent="0.2">
      <c r="A9">
        <v>8</v>
      </c>
      <c r="B9">
        <v>187.0916</v>
      </c>
      <c r="C9">
        <v>157.93719999999999</v>
      </c>
      <c r="D9">
        <v>29.154399999999999</v>
      </c>
      <c r="E9">
        <v>1834.5473</v>
      </c>
      <c r="F9">
        <v>0.18459523248964471</v>
      </c>
    </row>
    <row r="10" spans="1:6" x14ac:dyDescent="0.2">
      <c r="A10">
        <v>9</v>
      </c>
      <c r="B10">
        <v>196.14689999999999</v>
      </c>
      <c r="C10">
        <v>163.49</v>
      </c>
      <c r="D10">
        <v>32.656799999999997</v>
      </c>
      <c r="E10">
        <v>2226.4290000000001</v>
      </c>
      <c r="F10">
        <v>0.19974801819061194</v>
      </c>
    </row>
    <row r="11" spans="1:6" x14ac:dyDescent="0.2">
      <c r="A11">
        <v>10</v>
      </c>
      <c r="B11">
        <v>205.6404</v>
      </c>
      <c r="C11">
        <v>169.23849999999999</v>
      </c>
      <c r="D11">
        <v>36.401899999999998</v>
      </c>
      <c r="E11">
        <v>2663.2516000000001</v>
      </c>
      <c r="F11">
        <v>0.21509224779310721</v>
      </c>
    </row>
    <row r="12" spans="1:6" x14ac:dyDescent="0.2">
      <c r="A12">
        <v>11</v>
      </c>
      <c r="B12">
        <v>215.5934</v>
      </c>
      <c r="C12">
        <v>175.18940000000001</v>
      </c>
      <c r="D12">
        <v>40.404000000000003</v>
      </c>
      <c r="E12">
        <v>3148.0994000000001</v>
      </c>
      <c r="F12">
        <v>0.23063027870390873</v>
      </c>
    </row>
    <row r="13" spans="1:6" x14ac:dyDescent="0.2">
      <c r="A13">
        <v>12</v>
      </c>
      <c r="B13">
        <v>226.02809999999999</v>
      </c>
      <c r="C13">
        <v>181.34989999999999</v>
      </c>
      <c r="D13">
        <v>44.678199999999997</v>
      </c>
      <c r="E13">
        <v>3684.2375000000002</v>
      </c>
      <c r="F13">
        <v>0.24636449578004394</v>
      </c>
    </row>
    <row r="14" spans="1:6" x14ac:dyDescent="0.2">
      <c r="A14">
        <v>13</v>
      </c>
      <c r="B14">
        <v>236.96780000000001</v>
      </c>
      <c r="C14">
        <v>187.72739999999999</v>
      </c>
      <c r="D14">
        <v>49.240400000000001</v>
      </c>
      <c r="E14">
        <v>4275.1223</v>
      </c>
      <c r="F14">
        <v>0.26229731160752556</v>
      </c>
    </row>
    <row r="15" spans="1:6" x14ac:dyDescent="0.2">
      <c r="A15">
        <v>14</v>
      </c>
      <c r="B15">
        <v>248.43709999999999</v>
      </c>
      <c r="C15">
        <v>194.3296</v>
      </c>
      <c r="D15">
        <v>54.107399999999998</v>
      </c>
      <c r="E15">
        <v>4924.4115000000002</v>
      </c>
      <c r="F15">
        <v>0.27843116678182933</v>
      </c>
    </row>
    <row r="16" spans="1:6" x14ac:dyDescent="0.2">
      <c r="A16">
        <v>15</v>
      </c>
      <c r="B16">
        <v>260.46140000000003</v>
      </c>
      <c r="C16">
        <v>201.1645</v>
      </c>
      <c r="D16">
        <v>59.296999999999997</v>
      </c>
      <c r="E16">
        <v>5635.9749000000002</v>
      </c>
      <c r="F16">
        <v>0.2947685301900862</v>
      </c>
    </row>
    <row r="17" spans="1:6" x14ac:dyDescent="0.2">
      <c r="A17">
        <v>16</v>
      </c>
      <c r="B17">
        <v>273.06779999999998</v>
      </c>
      <c r="C17">
        <v>208.24010000000001</v>
      </c>
      <c r="D17">
        <v>64.827600000000004</v>
      </c>
      <c r="E17">
        <v>6413.9065000000001</v>
      </c>
      <c r="F17">
        <v>0.31131189929497927</v>
      </c>
    </row>
    <row r="18" spans="1:6" x14ac:dyDescent="0.2">
      <c r="A18">
        <v>17</v>
      </c>
      <c r="B18">
        <v>286.2842</v>
      </c>
      <c r="C18">
        <v>215.5651</v>
      </c>
      <c r="D18">
        <v>70.719099999999997</v>
      </c>
      <c r="E18">
        <v>7262.5358999999999</v>
      </c>
      <c r="F18">
        <v>0.32806380042030092</v>
      </c>
    </row>
    <row r="19" spans="1:6" x14ac:dyDescent="0.2">
      <c r="A19">
        <v>18</v>
      </c>
      <c r="B19">
        <v>300.1404</v>
      </c>
      <c r="C19">
        <v>223.14830000000001</v>
      </c>
      <c r="D19">
        <v>76.992099999999994</v>
      </c>
      <c r="E19">
        <v>8186.4414999999999</v>
      </c>
      <c r="F19">
        <v>0.34502678903816597</v>
      </c>
    </row>
    <row r="20" spans="1:6" x14ac:dyDescent="0.2">
      <c r="A20">
        <v>19</v>
      </c>
      <c r="B20">
        <v>314.66719999999998</v>
      </c>
      <c r="C20">
        <v>230.99870000000001</v>
      </c>
      <c r="D20">
        <v>83.668499999999995</v>
      </c>
      <c r="E20">
        <v>9190.4637000000002</v>
      </c>
      <c r="F20">
        <v>0.36220345005784083</v>
      </c>
    </row>
    <row r="21" spans="1:6" x14ac:dyDescent="0.2">
      <c r="A21">
        <v>20</v>
      </c>
      <c r="B21">
        <v>329.89710000000002</v>
      </c>
      <c r="C21">
        <v>239.1258</v>
      </c>
      <c r="D21">
        <v>90.771299999999997</v>
      </c>
      <c r="E21">
        <v>10279.7192</v>
      </c>
      <c r="F21">
        <v>0.37959639811616586</v>
      </c>
    </row>
    <row r="22" spans="1:6" x14ac:dyDescent="0.2">
      <c r="A22">
        <v>21</v>
      </c>
      <c r="B22">
        <v>345.86410000000001</v>
      </c>
      <c r="C22">
        <v>247.5394</v>
      </c>
      <c r="D22">
        <v>98.324700000000007</v>
      </c>
      <c r="E22">
        <v>11459.615599999999</v>
      </c>
      <c r="F22">
        <v>0.39720827786954027</v>
      </c>
    </row>
    <row r="23" spans="1:6" x14ac:dyDescent="0.2">
      <c r="A23">
        <v>22</v>
      </c>
      <c r="B23">
        <v>362.60390000000001</v>
      </c>
      <c r="C23">
        <v>256.24959999999999</v>
      </c>
      <c r="D23">
        <v>106.35429999999999</v>
      </c>
      <c r="E23">
        <v>12735.867200000001</v>
      </c>
      <c r="F23">
        <v>0.41504176428744222</v>
      </c>
    </row>
    <row r="24" spans="1:6" x14ac:dyDescent="0.2">
      <c r="A24">
        <v>23</v>
      </c>
      <c r="B24">
        <v>380.154</v>
      </c>
      <c r="C24">
        <v>265.267</v>
      </c>
      <c r="D24">
        <v>114.887</v>
      </c>
      <c r="E24">
        <v>14114.5113</v>
      </c>
      <c r="F24">
        <v>0.43309956294744412</v>
      </c>
    </row>
    <row r="25" spans="1:6" x14ac:dyDescent="0.2">
      <c r="A25">
        <v>24</v>
      </c>
      <c r="B25">
        <v>398.55340000000001</v>
      </c>
      <c r="C25">
        <v>274.60219999999998</v>
      </c>
      <c r="D25">
        <v>123.9512</v>
      </c>
      <c r="E25">
        <v>15601.9254</v>
      </c>
      <c r="F25">
        <v>0.45138441033169996</v>
      </c>
    </row>
    <row r="26" spans="1:6" x14ac:dyDescent="0.2">
      <c r="A26">
        <v>25</v>
      </c>
      <c r="B26">
        <v>417.84339999999997</v>
      </c>
      <c r="C26">
        <v>284.26670000000001</v>
      </c>
      <c r="D26">
        <v>133.57669999999999</v>
      </c>
      <c r="E26">
        <v>17204.845399999998</v>
      </c>
      <c r="F26">
        <v>0.46989907412485743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437B-83C7-4AC0-B76B-7A48784D85B8}">
  <sheetPr codeName="Sheet1"/>
  <dimension ref="A1:AM76"/>
  <sheetViews>
    <sheetView tabSelected="1" zoomScale="115" zoomScaleNormal="115" workbookViewId="0">
      <selection activeCell="J44" sqref="J44"/>
    </sheetView>
  </sheetViews>
  <sheetFormatPr defaultColWidth="23" defaultRowHeight="20.25" customHeight="1" x14ac:dyDescent="0.2"/>
  <cols>
    <col min="1" max="16384" width="23" style="29"/>
  </cols>
  <sheetData>
    <row r="1" spans="1:22" ht="20.25" customHeight="1" x14ac:dyDescent="0.2">
      <c r="A1" s="80" t="s">
        <v>100</v>
      </c>
      <c r="B1" s="64"/>
      <c r="C1" s="64"/>
      <c r="D1" s="64"/>
      <c r="E1" s="64"/>
      <c r="F1" s="64"/>
      <c r="G1" s="64"/>
      <c r="H1" s="64"/>
    </row>
    <row r="2" spans="1:22" ht="20.25" customHeight="1" x14ac:dyDescent="0.2">
      <c r="A2" s="64"/>
      <c r="B2" s="64"/>
      <c r="C2" s="64"/>
      <c r="D2" s="64"/>
      <c r="E2" s="64"/>
      <c r="F2" s="64"/>
      <c r="G2" s="64"/>
      <c r="H2" s="64"/>
    </row>
    <row r="3" spans="1:22" ht="20.25" customHeight="1" x14ac:dyDescent="0.2">
      <c r="A3" s="81" t="s">
        <v>101</v>
      </c>
      <c r="B3" s="64"/>
      <c r="C3" s="64"/>
      <c r="D3" s="64"/>
      <c r="E3" s="64"/>
      <c r="F3" s="64"/>
      <c r="G3" s="64"/>
      <c r="H3" s="64"/>
    </row>
    <row r="4" spans="1:22" ht="20.25" customHeight="1" x14ac:dyDescent="0.2">
      <c r="A4" s="82" t="s">
        <v>102</v>
      </c>
      <c r="B4" s="58"/>
      <c r="C4" s="83" t="s">
        <v>103</v>
      </c>
      <c r="D4" s="58"/>
      <c r="E4" s="84" t="s">
        <v>0</v>
      </c>
      <c r="F4" s="58"/>
      <c r="G4" s="67" t="s">
        <v>1</v>
      </c>
      <c r="H4" s="58"/>
    </row>
    <row r="5" spans="1:22" ht="20.25" customHeight="1" x14ac:dyDescent="0.2">
      <c r="A5" s="76">
        <f>Model!D4</f>
        <v>1612.6736842105263</v>
      </c>
      <c r="B5" s="60"/>
      <c r="C5" s="77">
        <f>Model!E4</f>
        <v>1488.1267368421052</v>
      </c>
      <c r="D5" s="60"/>
      <c r="E5" s="78">
        <f>Model!F4/12</f>
        <v>10.37891228070176</v>
      </c>
      <c r="F5" s="60"/>
      <c r="G5" s="172">
        <f>Model!J28</f>
        <v>17204.845422440438</v>
      </c>
      <c r="H5" s="173"/>
    </row>
    <row r="6" spans="1:22" ht="20.25" customHeight="1" x14ac:dyDescent="0.2">
      <c r="A6" s="61"/>
      <c r="B6" s="63"/>
      <c r="C6" s="61"/>
      <c r="D6" s="63"/>
      <c r="E6" s="61"/>
      <c r="F6" s="63"/>
      <c r="G6" s="174"/>
      <c r="H6" s="175"/>
    </row>
    <row r="7" spans="1:22" ht="20.25" customHeight="1" x14ac:dyDescent="0.2">
      <c r="A7" s="79" t="s">
        <v>170</v>
      </c>
      <c r="B7" s="57"/>
      <c r="C7" s="57"/>
      <c r="D7" s="57"/>
      <c r="E7" s="57"/>
      <c r="F7" s="57"/>
      <c r="G7" s="57"/>
      <c r="H7" s="58"/>
    </row>
    <row r="8" spans="1:22" ht="34.5" customHeight="1" x14ac:dyDescent="0.2">
      <c r="A8" s="66" t="s">
        <v>104</v>
      </c>
      <c r="B8" s="57"/>
      <c r="C8" s="57"/>
      <c r="D8" s="57"/>
      <c r="E8" s="58"/>
    </row>
    <row r="9" spans="1:22" ht="20.25" customHeight="1" x14ac:dyDescent="0.2">
      <c r="A9" s="32"/>
      <c r="B9" s="32"/>
      <c r="C9" s="32"/>
      <c r="D9" s="32"/>
      <c r="E9" s="32"/>
      <c r="F9" s="186" t="s">
        <v>160</v>
      </c>
      <c r="G9" s="187"/>
      <c r="H9" s="188"/>
    </row>
    <row r="10" spans="1:22" ht="20.25" customHeight="1" x14ac:dyDescent="0.25">
      <c r="A10" s="32"/>
      <c r="B10" s="32"/>
      <c r="C10" s="32"/>
      <c r="D10" s="66" t="s">
        <v>111</v>
      </c>
      <c r="E10" s="58"/>
      <c r="F10" s="180" t="str">
        <f>TEXT(SUM(Model!F2:F28)/24,"$#,##0")&amp;" per Year"</f>
        <v>$717 per Year</v>
      </c>
      <c r="G10" s="181"/>
      <c r="H10" s="182"/>
      <c r="J10" s="33" t="s">
        <v>3</v>
      </c>
      <c r="K10" s="33" t="s">
        <v>105</v>
      </c>
      <c r="L10" s="33" t="s">
        <v>106</v>
      </c>
      <c r="M10" s="33" t="s">
        <v>107</v>
      </c>
      <c r="N10" s="178" t="s">
        <v>164</v>
      </c>
      <c r="O10" s="178" t="s">
        <v>165</v>
      </c>
      <c r="U10" s="29" t="str">
        <f>IFERROR(MATCH(TRUE,$O$11:$O$41,0),"")</f>
        <v/>
      </c>
      <c r="V10" s="35" t="s">
        <v>4</v>
      </c>
    </row>
    <row r="11" spans="1:22" ht="20.25" customHeight="1" x14ac:dyDescent="0.2">
      <c r="A11" s="32"/>
      <c r="B11" s="32"/>
      <c r="C11" s="32"/>
      <c r="D11" s="195" t="s">
        <v>171</v>
      </c>
      <c r="E11" s="194" t="s">
        <v>168</v>
      </c>
      <c r="F11" s="183"/>
      <c r="G11" s="184"/>
      <c r="H11" s="185"/>
      <c r="J11" s="29">
        <v>1</v>
      </c>
      <c r="K11" s="36">
        <f>IF(1&gt;Inputs!$E$12,"",Model!D4/12)</f>
        <v>134.38947368421051</v>
      </c>
      <c r="L11" s="36">
        <f>Model!E4/12</f>
        <v>124.01056140350876</v>
      </c>
      <c r="M11" s="36">
        <f>Model!F4/12</f>
        <v>10.37891228070176</v>
      </c>
      <c r="N11" s="177">
        <f>Model!J4</f>
        <v>124.54694736842112</v>
      </c>
      <c r="O11" s="179">
        <f>Model!P4</f>
        <v>8.3693777072184838E-2</v>
      </c>
      <c r="U11" s="29" t="str">
        <f>IF(U10="","",INDEX($J$11:$J$41,U10))</f>
        <v/>
      </c>
      <c r="V11" s="35">
        <f>U14</f>
        <v>57</v>
      </c>
    </row>
    <row r="12" spans="1:22" ht="20.25" customHeight="1" x14ac:dyDescent="0.25">
      <c r="A12" s="32"/>
      <c r="B12" s="32"/>
      <c r="C12" s="32"/>
      <c r="D12" s="190" t="str">
        <f>TEXT($C$27,"$0.000")&amp;" per kWh"</f>
        <v>$0.383 per kWh</v>
      </c>
      <c r="E12" s="191" t="str">
        <f>TEXT(Dashboard!C5/Inputs!K6,"$0.000")&amp;" per kWh"</f>
        <v>$0.332 per kWh</v>
      </c>
      <c r="F12" s="189"/>
      <c r="G12" s="31"/>
      <c r="H12" s="30"/>
      <c r="J12" s="29">
        <v>2</v>
      </c>
      <c r="K12" s="36">
        <f>IF(1&gt;Inputs!$E$12,"",Model!D5/12)</f>
        <v>140.89392421052631</v>
      </c>
      <c r="L12" s="36">
        <f>Model!E5/12</f>
        <v>128.36893924210526</v>
      </c>
      <c r="M12" s="36">
        <f>Model!F5/12</f>
        <v>12.524984968421052</v>
      </c>
      <c r="N12" s="177">
        <f>Model!J5</f>
        <v>274.84676698947374</v>
      </c>
      <c r="O12" s="179">
        <f>Model!P5</f>
        <v>9.7570214744851835E-2</v>
      </c>
      <c r="R12" s="37" t="s">
        <v>3</v>
      </c>
      <c r="S12" s="37" t="s">
        <v>105</v>
      </c>
      <c r="T12" s="37" t="s">
        <v>106</v>
      </c>
      <c r="V12" s="35">
        <f>MAX(0,100-U14)</f>
        <v>43</v>
      </c>
    </row>
    <row r="13" spans="1:22" ht="20.25" customHeight="1" x14ac:dyDescent="0.2">
      <c r="A13" s="32"/>
      <c r="B13" s="32"/>
      <c r="C13" s="32"/>
      <c r="D13" s="32"/>
      <c r="F13" s="73" t="str">
        <f>IF($U$11="","N/A",$U$11&amp;" years")</f>
        <v>N/A</v>
      </c>
      <c r="G13" s="59"/>
      <c r="H13" s="60"/>
      <c r="J13" s="29">
        <v>3</v>
      </c>
      <c r="K13" s="36">
        <f>IF(1&gt;Inputs!$E$12,"",Model!D6/12)</f>
        <v>147.71319014231577</v>
      </c>
      <c r="L13" s="36">
        <f>Model!E6/12</f>
        <v>132.88073190142316</v>
      </c>
      <c r="M13" s="36">
        <f>Model!F6/12</f>
        <v>14.832458240892626</v>
      </c>
      <c r="N13" s="177">
        <f>Model!J6</f>
        <v>452.83626588018524</v>
      </c>
      <c r="O13" s="179">
        <f>Model!P6</f>
        <v>0.11162234003870486</v>
      </c>
      <c r="R13" s="29">
        <v>1</v>
      </c>
      <c r="S13" s="36"/>
      <c r="T13" s="36">
        <f>IF(1&gt;Inputs!$E$12,"",INDEX(Model!$E:$E,3+1)/12)</f>
        <v>124.01056140350876</v>
      </c>
      <c r="U13" s="29">
        <f>MAX(0,MIN(100,ROUND(60 + 500*Inputs!$E$8 - 400*Inputs!$E$11 + 0.8*(Inputs!$E$12-10),0)))</f>
        <v>82</v>
      </c>
      <c r="V13" s="35">
        <v>100</v>
      </c>
    </row>
    <row r="14" spans="1:22" ht="20.25" customHeight="1" x14ac:dyDescent="0.2">
      <c r="A14" s="32"/>
      <c r="B14" s="32"/>
      <c r="C14" s="32"/>
      <c r="D14" s="32"/>
      <c r="E14" s="32"/>
      <c r="F14" s="61"/>
      <c r="G14" s="62"/>
      <c r="H14" s="63"/>
      <c r="J14" s="29">
        <v>4</v>
      </c>
      <c r="K14" s="36">
        <f>IF(1&gt;Inputs!$E$12,"",Model!D7/12)</f>
        <v>154.86250854520389</v>
      </c>
      <c r="L14" s="36">
        <f>Model!E7/12</f>
        <v>137.55135108545201</v>
      </c>
      <c r="M14" s="36">
        <f>Model!F7/12</f>
        <v>17.311157459751865</v>
      </c>
      <c r="N14" s="177">
        <f>Model!J7</f>
        <v>660.5701553972076</v>
      </c>
      <c r="O14" s="179">
        <f>Model!P7</f>
        <v>0.12585232586336081</v>
      </c>
      <c r="R14" s="29">
        <v>5</v>
      </c>
      <c r="S14" s="36">
        <f>IF(5&gt;Inputs!$E$12,"",INDEX(Model!$D:$D,3+5)/12)</f>
        <v>162.35785395879174</v>
      </c>
      <c r="T14" s="36"/>
      <c r="U14" s="29">
        <f>MAX(0,MIN(100,ROUND(35+MIN(30,MAX(0,$E$5)/50)+MIN(20,MAX(0,$G$5)/2500)+MIN(15,MAX(0,Inputs!$E$13)*15)+IF($U$11="",0,MAX(0,25-3*$U$11)),0)))</f>
        <v>57</v>
      </c>
    </row>
    <row r="15" spans="1:22" ht="20.25" customHeight="1" x14ac:dyDescent="0.2">
      <c r="A15" s="32"/>
      <c r="B15" s="32"/>
      <c r="C15" s="32"/>
      <c r="D15" s="32"/>
      <c r="E15" s="32"/>
      <c r="F15" s="68" t="s">
        <v>108</v>
      </c>
      <c r="G15" s="57"/>
      <c r="H15" s="58"/>
      <c r="J15" s="29">
        <v>5</v>
      </c>
      <c r="K15" s="36">
        <f>IF(1&gt;Inputs!$E$12,"",Model!D8/12)</f>
        <v>162.35785395879174</v>
      </c>
      <c r="L15" s="36">
        <f>Model!E8/12</f>
        <v>142.38639994958788</v>
      </c>
      <c r="M15" s="36">
        <f>Model!F8/12</f>
        <v>19.971454009203853</v>
      </c>
      <c r="N15" s="177">
        <f>Model!J8</f>
        <v>900.22760350765384</v>
      </c>
      <c r="O15" s="179">
        <f>Model!P8</f>
        <v>0.1402623706777808</v>
      </c>
      <c r="R15" s="29">
        <v>10</v>
      </c>
      <c r="S15" s="36">
        <f>IF(10&gt;Inputs!$E$12,"",INDEX(Model!$D:$D,3+10)/12)</f>
        <v>205.64036382612269</v>
      </c>
      <c r="T15" s="36"/>
    </row>
    <row r="16" spans="1:22" ht="20.25" customHeight="1" x14ac:dyDescent="0.2">
      <c r="A16" s="32"/>
      <c r="B16" s="32"/>
      <c r="C16" s="32"/>
      <c r="D16" s="32"/>
      <c r="E16" s="32"/>
      <c r="J16" s="29">
        <v>6</v>
      </c>
      <c r="K16" s="36">
        <f>IF(1&gt;Inputs!$E$12,"",Model!D9/12)</f>
        <v>170.21597409039728</v>
      </c>
      <c r="L16" s="36">
        <f>Model!E9/12</f>
        <v>147.39167990025391</v>
      </c>
      <c r="M16" s="36">
        <f>Model!F9/12</f>
        <v>22.824294190143366</v>
      </c>
      <c r="N16" s="177">
        <f>Model!J9</f>
        <v>1174.1191337893742</v>
      </c>
      <c r="O16" s="179">
        <f>Model!P9</f>
        <v>0.15485469875633084</v>
      </c>
    </row>
    <row r="17" spans="1:26" ht="20.25" customHeight="1" x14ac:dyDescent="0.2">
      <c r="A17" s="32"/>
      <c r="B17" s="32"/>
      <c r="C17" s="32"/>
      <c r="D17" s="32"/>
      <c r="E17" s="32"/>
      <c r="J17" s="29">
        <v>7</v>
      </c>
      <c r="K17" s="36">
        <f>IF(1&gt;Inputs!$E$12,"",Model!D10/12)</f>
        <v>178.45442723637245</v>
      </c>
      <c r="L17" s="36">
        <f>Model!E10/12</f>
        <v>152.57319763729092</v>
      </c>
      <c r="M17" s="36">
        <f>Model!F10/12</f>
        <v>25.881229599081525</v>
      </c>
      <c r="N17" s="177">
        <f>Model!J10</f>
        <v>1484.6938889783526</v>
      </c>
      <c r="O17" s="179">
        <f>Model!P10</f>
        <v>0.16963156045669581</v>
      </c>
    </row>
    <row r="18" spans="1:26" ht="20.25" customHeight="1" x14ac:dyDescent="0.2">
      <c r="A18" s="32"/>
      <c r="B18" s="32"/>
      <c r="C18" s="32"/>
      <c r="D18" s="32"/>
      <c r="E18" s="32"/>
      <c r="F18" s="75" t="s">
        <v>109</v>
      </c>
      <c r="G18" s="57"/>
      <c r="H18" s="58"/>
      <c r="J18" s="29">
        <v>8</v>
      </c>
      <c r="K18" s="36">
        <f>IF(1&gt;Inputs!$E$12,"",Model!D11/12)</f>
        <v>187.09162151461294</v>
      </c>
      <c r="L18" s="36">
        <f>Model!E11/12</f>
        <v>157.93717244784577</v>
      </c>
      <c r="M18" s="36">
        <f>Model!F11/12</f>
        <v>29.154449066767182</v>
      </c>
      <c r="N18" s="177">
        <f>Model!J11</f>
        <v>1834.5472777795587</v>
      </c>
      <c r="O18" s="179">
        <f>Model!P11</f>
        <v>0.18459523248964471</v>
      </c>
    </row>
    <row r="19" spans="1:26" ht="33" customHeight="1" x14ac:dyDescent="0.2">
      <c r="A19" s="70" t="s">
        <v>110</v>
      </c>
      <c r="B19" s="57"/>
      <c r="C19" s="58"/>
      <c r="F19" s="66" t="s">
        <v>112</v>
      </c>
      <c r="G19" s="57"/>
      <c r="H19" s="58"/>
      <c r="J19" s="29">
        <v>9</v>
      </c>
      <c r="K19" s="36">
        <f>IF(1&gt;Inputs!$E$12,"",Model!D12/12)</f>
        <v>196.14685599592016</v>
      </c>
      <c r="L19" s="36">
        <f>Model!E12/12</f>
        <v>163.49004376080327</v>
      </c>
      <c r="M19" s="36">
        <f>Model!F12/12</f>
        <v>32.656812235116867</v>
      </c>
      <c r="N19" s="177">
        <f>Model!J12</f>
        <v>2226.4290246009614</v>
      </c>
      <c r="O19" s="179">
        <f>Model!P12</f>
        <v>0.19974801819061194</v>
      </c>
    </row>
    <row r="20" spans="1:26" ht="20.25" customHeight="1" x14ac:dyDescent="0.3">
      <c r="A20" s="38" t="s">
        <v>161</v>
      </c>
      <c r="B20" s="32"/>
      <c r="C20" s="39">
        <f>A5</f>
        <v>1612.6736842105263</v>
      </c>
      <c r="D20" s="32"/>
      <c r="E20" s="32"/>
      <c r="F20" s="71" t="s">
        <v>113</v>
      </c>
      <c r="G20" s="57"/>
      <c r="H20" s="58"/>
      <c r="J20" s="29">
        <v>10</v>
      </c>
      <c r="K20" s="36">
        <f>IF(1&gt;Inputs!$E$12,"",Model!D13/12)</f>
        <v>205.64036382612269</v>
      </c>
      <c r="L20" s="36">
        <f>Model!E13/12</f>
        <v>169.23847897113481</v>
      </c>
      <c r="M20" s="36">
        <f>Model!F13/12</f>
        <v>36.401884854987884</v>
      </c>
      <c r="N20" s="177">
        <f>Model!J13</f>
        <v>2663.251642860816</v>
      </c>
      <c r="O20" s="179">
        <f>Model!P13</f>
        <v>0.21509224779310721</v>
      </c>
      <c r="P20" s="37"/>
      <c r="W20" s="34"/>
      <c r="X20" s="34"/>
      <c r="Y20" s="34"/>
      <c r="Z20" s="34"/>
    </row>
    <row r="21" spans="1:26" ht="20.25" customHeight="1" x14ac:dyDescent="0.2">
      <c r="A21" s="38" t="s">
        <v>162</v>
      </c>
      <c r="B21" s="32"/>
      <c r="C21" s="39">
        <f>C5</f>
        <v>1488.1267368421052</v>
      </c>
      <c r="D21" s="32"/>
      <c r="E21" s="32"/>
      <c r="F21" s="72" t="s">
        <v>114</v>
      </c>
      <c r="G21" s="57"/>
      <c r="H21" s="58"/>
      <c r="J21" s="29">
        <v>11</v>
      </c>
      <c r="K21" s="36">
        <f>IF(1&gt;Inputs!$E$12,"",Model!D14/12)</f>
        <v>215.59335743530707</v>
      </c>
      <c r="L21" s="36">
        <f>Model!E14/12</f>
        <v>175.18938154387726</v>
      </c>
      <c r="M21" s="36">
        <f>Model!F14/12</f>
        <v>40.403975891429809</v>
      </c>
      <c r="N21" s="177">
        <f>Model!J14</f>
        <v>3148.0993535579737</v>
      </c>
      <c r="O21" s="179">
        <f>Model!P14</f>
        <v>0.23063027870390873</v>
      </c>
      <c r="P21" s="40"/>
      <c r="X21" s="41"/>
      <c r="Y21" s="36"/>
    </row>
    <row r="22" spans="1:26" ht="20.25" customHeight="1" x14ac:dyDescent="0.2">
      <c r="A22" s="38" t="s">
        <v>177</v>
      </c>
      <c r="B22" s="32"/>
      <c r="C22" s="39">
        <f>Model!D8/12</f>
        <v>162.35785395879174</v>
      </c>
      <c r="D22" s="32"/>
      <c r="E22" s="32"/>
      <c r="F22" s="65" t="s">
        <v>115</v>
      </c>
      <c r="G22" s="57"/>
      <c r="H22" s="58"/>
      <c r="J22" s="29">
        <v>12</v>
      </c>
      <c r="K22" s="36">
        <f>IF(1&gt;Inputs!$E$12,"",Model!D15/12)</f>
        <v>226.02807593517591</v>
      </c>
      <c r="L22" s="36">
        <f>Model!E15/12</f>
        <v>181.34989940780929</v>
      </c>
      <c r="M22" s="36">
        <f>Model!F15/12</f>
        <v>44.67817652736661</v>
      </c>
      <c r="N22" s="177">
        <f>Model!J15</f>
        <v>3684.237471886373</v>
      </c>
      <c r="O22" s="179">
        <f>Model!P15</f>
        <v>0.24636449578004394</v>
      </c>
      <c r="P22" s="40"/>
      <c r="X22" s="41"/>
      <c r="Y22" s="36"/>
    </row>
    <row r="23" spans="1:26" ht="20.25" customHeight="1" x14ac:dyDescent="0.2">
      <c r="A23" s="38" t="s">
        <v>176</v>
      </c>
      <c r="B23" s="32"/>
      <c r="C23" s="39">
        <f>L15</f>
        <v>142.38639994958788</v>
      </c>
      <c r="D23" s="192"/>
      <c r="E23" s="193"/>
      <c r="F23" s="67" t="str">
        <f>IF(INDEX($N$11:$N$41,25)&gt;=0,"✅ WINNER: Solar saves "&amp;TEXT(INDEX($N$11:$N$41,25),"$#,##0")&amp;" by Year 25","⚠️ ALERT: Utility wins by "&amp;TEXT(ABS(INDEX($N$11:$N$41,25)),"$#,##0")&amp;" at Year 25")</f>
        <v>✅ WINNER: Solar saves $15,602 by Year 25</v>
      </c>
      <c r="G23" s="57"/>
      <c r="H23" s="58"/>
      <c r="J23" s="176"/>
      <c r="K23" s="177">
        <f>IF(1&gt;Inputs!$E$12,"",Model!D16/12)</f>
        <v>236.9678348104384</v>
      </c>
      <c r="L23" s="177">
        <f>Model!E16/12</f>
        <v>187.72743364925793</v>
      </c>
      <c r="M23" s="177">
        <f>Model!F16/12</f>
        <v>49.240401161180479</v>
      </c>
      <c r="N23" s="177">
        <f>Model!J16</f>
        <v>4275.1222858205383</v>
      </c>
      <c r="O23" s="179">
        <f>Model!P16</f>
        <v>0.26229731160752556</v>
      </c>
      <c r="P23" s="40"/>
      <c r="X23" s="41"/>
      <c r="Y23" s="36"/>
    </row>
    <row r="24" spans="1:26" ht="20.25" customHeight="1" x14ac:dyDescent="0.2">
      <c r="A24" s="66" t="s">
        <v>116</v>
      </c>
      <c r="B24" s="57"/>
      <c r="C24" s="57"/>
      <c r="D24" s="57"/>
      <c r="E24" s="58"/>
      <c r="J24" s="29">
        <v>13</v>
      </c>
      <c r="K24" s="36">
        <f>IF(1&gt;Inputs!$E$12,"",Model!D16/12)</f>
        <v>236.9678348104384</v>
      </c>
      <c r="L24" s="36">
        <f>Model!E16/12</f>
        <v>187.72743364925793</v>
      </c>
      <c r="M24" s="36">
        <f>Model!F16/12</f>
        <v>49.240401161180479</v>
      </c>
      <c r="N24" s="177">
        <f>Model!J16</f>
        <v>4275.1222858205383</v>
      </c>
      <c r="O24" s="179">
        <f>Model!P16</f>
        <v>0.26229731160752556</v>
      </c>
      <c r="P24" s="40"/>
      <c r="X24" s="41"/>
      <c r="Y24" s="36"/>
    </row>
    <row r="25" spans="1:26" ht="20.25" customHeight="1" x14ac:dyDescent="0.2">
      <c r="A25" s="38" t="s">
        <v>117</v>
      </c>
      <c r="B25" s="32"/>
      <c r="C25" s="39">
        <f>Model!F8/12</f>
        <v>19.971454009203853</v>
      </c>
      <c r="D25" s="32"/>
      <c r="E25" s="32"/>
      <c r="F25" s="68" t="s">
        <v>118</v>
      </c>
      <c r="G25" s="57"/>
      <c r="H25" s="58"/>
      <c r="J25" s="29">
        <v>14</v>
      </c>
      <c r="K25" s="36">
        <f>IF(1&gt;Inputs!$E$12,"",Model!D17/12)</f>
        <v>248.43707801526367</v>
      </c>
      <c r="L25" s="36">
        <f>Model!E17/12</f>
        <v>194.32964751684651</v>
      </c>
      <c r="M25" s="36">
        <f>Model!F17/12</f>
        <v>54.10743049841718</v>
      </c>
      <c r="N25" s="177">
        <f>Model!J17</f>
        <v>4924.4114518015449</v>
      </c>
      <c r="O25" s="179">
        <f>Model!P17</f>
        <v>0.27843116678182933</v>
      </c>
    </row>
    <row r="26" spans="1:26" ht="20.25" customHeight="1" x14ac:dyDescent="0.2">
      <c r="A26" s="32"/>
      <c r="B26" s="32"/>
      <c r="C26" s="32"/>
      <c r="D26" s="32"/>
      <c r="E26" s="32"/>
      <c r="F26" s="69" t="str">
        <f>TEXT(Inputs!$E$13,"0%")&amp;" offset"</f>
        <v>99% offset</v>
      </c>
      <c r="G26" s="57"/>
      <c r="H26" s="58"/>
      <c r="J26" s="29">
        <v>15</v>
      </c>
      <c r="K26" s="36">
        <f>IF(1&gt;Inputs!$E$12,"",Model!D18/12)</f>
        <v>260.46143259120237</v>
      </c>
      <c r="L26" s="36">
        <f>Model!E18/12</f>
        <v>201.16447574839017</v>
      </c>
      <c r="M26" s="36">
        <f>Model!F18/12</f>
        <v>59.2969568428122</v>
      </c>
      <c r="N26" s="177">
        <f>Model!J18</f>
        <v>5635.9749339152913</v>
      </c>
      <c r="O26" s="179">
        <f>Model!P18</f>
        <v>0.2947685301900862</v>
      </c>
    </row>
    <row r="27" spans="1:26" ht="20.25" customHeight="1" x14ac:dyDescent="0.2">
      <c r="A27" s="42" t="s">
        <v>119</v>
      </c>
      <c r="B27" s="32"/>
      <c r="C27" s="43">
        <f>IFERROR(Inputs!$H$7/Inputs!$H$6,"")</f>
        <v>0.3832535885167464</v>
      </c>
      <c r="D27" s="32"/>
      <c r="E27" s="32"/>
      <c r="F27" s="32"/>
      <c r="G27" s="32"/>
      <c r="H27" s="32"/>
      <c r="J27" s="29">
        <v>16</v>
      </c>
      <c r="K27" s="36">
        <f>IF(1&gt;Inputs!$E$12,"",Model!D19/12)</f>
        <v>273.06776592861661</v>
      </c>
      <c r="L27" s="36">
        <f>Model!E19/12</f>
        <v>208.24013423155102</v>
      </c>
      <c r="M27" s="36">
        <f>Model!F19/12</f>
        <v>64.82763169706557</v>
      </c>
      <c r="N27" s="177">
        <f>Model!J19</f>
        <v>6413.9065142800782</v>
      </c>
      <c r="O27" s="179">
        <f>Model!P19</f>
        <v>0.31131189929497927</v>
      </c>
    </row>
    <row r="28" spans="1:26" ht="20.25" customHeight="1" x14ac:dyDescent="0.2">
      <c r="E28" s="32"/>
      <c r="F28" s="32"/>
      <c r="G28" s="32"/>
      <c r="H28" s="32"/>
      <c r="J28" s="29">
        <v>17</v>
      </c>
      <c r="K28" s="36">
        <f>IF(1&gt;Inputs!$E$12,"",Model!D20/12)</f>
        <v>286.28424579956163</v>
      </c>
      <c r="L28" s="36">
        <f>Model!E20/12</f>
        <v>215.56513001028972</v>
      </c>
      <c r="M28" s="36">
        <f>Model!F20/12</f>
        <v>70.719115789271925</v>
      </c>
      <c r="N28" s="177">
        <f>Model!J20</f>
        <v>7262.5359037513408</v>
      </c>
      <c r="O28" s="179">
        <f>Model!P20</f>
        <v>0.32806380042030092</v>
      </c>
    </row>
    <row r="29" spans="1:26" ht="20.25" customHeight="1" x14ac:dyDescent="0.2">
      <c r="A29" s="56" t="s">
        <v>5</v>
      </c>
      <c r="B29" s="57"/>
      <c r="C29" s="58"/>
      <c r="E29" s="32"/>
      <c r="F29" s="32"/>
      <c r="G29" s="32"/>
      <c r="H29" s="32"/>
      <c r="J29" s="29">
        <v>18</v>
      </c>
      <c r="K29" s="36">
        <f>IF(1&gt;Inputs!$E$12,"",Model!D21/12)</f>
        <v>300.14040329626039</v>
      </c>
      <c r="L29" s="36">
        <f>Model!E21/12</f>
        <v>223.14827164958697</v>
      </c>
      <c r="M29" s="36">
        <f>Model!F21/12</f>
        <v>76.9921316466734</v>
      </c>
      <c r="N29" s="177">
        <f>Model!J21</f>
        <v>8186.4414835114221</v>
      </c>
      <c r="O29" s="179">
        <f>Model!P21</f>
        <v>0.34502678903816597</v>
      </c>
    </row>
    <row r="30" spans="1:26" ht="20.25" customHeight="1" x14ac:dyDescent="0.2">
      <c r="A30" s="163" t="s">
        <v>163</v>
      </c>
      <c r="B30" s="164"/>
      <c r="C30" s="165"/>
      <c r="E30" s="32"/>
      <c r="J30" s="29">
        <v>19</v>
      </c>
      <c r="K30" s="36">
        <f>IF(1&gt;Inputs!$E$12,"",Model!D22/12)</f>
        <v>314.6671988157994</v>
      </c>
      <c r="L30" s="36">
        <f>Model!E22/12</f>
        <v>230.99867997136423</v>
      </c>
      <c r="M30" s="36">
        <f>Model!F22/12</f>
        <v>83.668518844435155</v>
      </c>
      <c r="N30" s="177">
        <f>Model!J22</f>
        <v>9190.463709644644</v>
      </c>
      <c r="O30" s="179">
        <f>Model!P22</f>
        <v>0.36220345005784083</v>
      </c>
    </row>
    <row r="31" spans="1:26" ht="20.25" customHeight="1" x14ac:dyDescent="0.2">
      <c r="A31" s="166" t="str">
        <f>TEXT(U14,"0")&amp;"/100"</f>
        <v>57/100</v>
      </c>
      <c r="B31" s="167"/>
      <c r="C31" s="168"/>
      <c r="E31" s="32"/>
      <c r="J31" s="29">
        <v>20</v>
      </c>
      <c r="K31" s="36">
        <f>IF(1&gt;Inputs!$E$12,"",Model!D23/12)</f>
        <v>329.89709123848411</v>
      </c>
      <c r="L31" s="36">
        <f>Model!E23/12</f>
        <v>239.12579917500327</v>
      </c>
      <c r="M31" s="36">
        <f>Model!F23/12</f>
        <v>90.771292063480857</v>
      </c>
      <c r="N31" s="177">
        <f>Model!J23</f>
        <v>10279.719214406414</v>
      </c>
      <c r="O31" s="179">
        <f>Model!P23</f>
        <v>0.37959639811616586</v>
      </c>
    </row>
    <row r="32" spans="1:26" ht="20.25" customHeight="1" x14ac:dyDescent="0.2">
      <c r="A32" s="169"/>
      <c r="B32" s="170"/>
      <c r="C32" s="171"/>
      <c r="E32" s="32"/>
      <c r="J32" s="29">
        <v>21</v>
      </c>
      <c r="K32" s="36">
        <f>IF(1&gt;Inputs!$E$12,"",Model!D24/12)</f>
        <v>345.86411045442674</v>
      </c>
      <c r="L32" s="36">
        <f>Model!E24/12</f>
        <v>247.53940835635433</v>
      </c>
      <c r="M32" s="36">
        <f>Model!F24/12</f>
        <v>98.324702098072407</v>
      </c>
      <c r="N32" s="177">
        <f>Model!J24</f>
        <v>11459.615639583282</v>
      </c>
      <c r="O32" s="179">
        <f>Model!P24</f>
        <v>0.39720827786954027</v>
      </c>
    </row>
    <row r="33" spans="1:39" ht="20.25" customHeight="1" x14ac:dyDescent="0.2">
      <c r="A33" s="74" t="s">
        <v>147</v>
      </c>
      <c r="B33" s="59"/>
      <c r="C33" s="60"/>
      <c r="E33" s="32"/>
      <c r="J33" s="29">
        <v>22</v>
      </c>
      <c r="K33" s="36">
        <f>IF(1&gt;Inputs!$E$12,"",Model!D25/12)</f>
        <v>362.603933400421</v>
      </c>
      <c r="L33" s="36">
        <f>Model!E25/12</f>
        <v>256.24963343962759</v>
      </c>
      <c r="M33" s="36">
        <f>Model!F25/12</f>
        <v>106.3542999607934</v>
      </c>
      <c r="N33" s="177">
        <f>Model!J25</f>
        <v>12735.867239112802</v>
      </c>
      <c r="O33" s="179">
        <f>Model!P25</f>
        <v>0.41504176428744222</v>
      </c>
    </row>
    <row r="34" spans="1:39" ht="20.25" customHeight="1" x14ac:dyDescent="0.2">
      <c r="A34" s="61"/>
      <c r="B34" s="62"/>
      <c r="C34" s="63"/>
      <c r="E34" s="32"/>
      <c r="J34" s="29">
        <v>23</v>
      </c>
      <c r="K34" s="36">
        <f>IF(1&gt;Inputs!$E$12,"",Model!D26/12)</f>
        <v>380.15396377700131</v>
      </c>
      <c r="L34" s="36">
        <f>Model!E26/12</f>
        <v>265.2669595370902</v>
      </c>
      <c r="M34" s="36">
        <f>Model!F26/12</f>
        <v>114.88700423991111</v>
      </c>
      <c r="N34" s="177">
        <f>Model!J26</f>
        <v>14114.511289991735</v>
      </c>
      <c r="O34" s="179">
        <f>Model!P26</f>
        <v>0.43309956294744412</v>
      </c>
    </row>
    <row r="35" spans="1:39" ht="20.25" customHeight="1" x14ac:dyDescent="0.2">
      <c r="J35" s="29">
        <v>24</v>
      </c>
      <c r="K35" s="36">
        <f>IF(1&gt;Inputs!$E$12,"",Model!D27/12)</f>
        <v>398.55341562380823</v>
      </c>
      <c r="L35" s="36">
        <f>Model!E27/12</f>
        <v>274.60224375203444</v>
      </c>
      <c r="M35" s="36">
        <f>Model!F27/12</f>
        <v>123.95117187177379</v>
      </c>
      <c r="N35" s="177">
        <f>Model!J27</f>
        <v>15601.925352453021</v>
      </c>
      <c r="O35" s="179">
        <f>Model!P27</f>
        <v>0.45138441033169996</v>
      </c>
    </row>
    <row r="36" spans="1:39" ht="20.25" customHeight="1" x14ac:dyDescent="0.2">
      <c r="J36" s="29">
        <v>25</v>
      </c>
      <c r="K36" s="36">
        <f>IF(1&gt;Inputs!$E$12,"",Model!D28/12)</f>
        <v>417.84340094000049</v>
      </c>
      <c r="L36" s="36">
        <f>Model!E28/12</f>
        <v>284.26672844104922</v>
      </c>
      <c r="M36" s="36">
        <f>Model!F28/12</f>
        <v>133.5766724989513</v>
      </c>
      <c r="N36" s="177">
        <f>Model!J28</f>
        <v>17204.845422440438</v>
      </c>
      <c r="O36" s="179">
        <f>Model!P28</f>
        <v>0.46989907412485743</v>
      </c>
    </row>
    <row r="37" spans="1:39" ht="20.25" customHeight="1" x14ac:dyDescent="0.2">
      <c r="E37" s="48"/>
      <c r="F37" s="48"/>
      <c r="G37" s="48"/>
      <c r="H37" s="48"/>
      <c r="K37" s="36" t="str">
        <f>IF(26&gt;Inputs!$E$12,"",Model!D29/12)</f>
        <v/>
      </c>
      <c r="L37" s="36" t="str">
        <f>IF(26&gt;Inputs!$E$12,"",Model!E29/12)</f>
        <v/>
      </c>
      <c r="M37" s="36" t="str">
        <f>IF(26&gt;Inputs!$E$12,"",Model!F29/12)</f>
        <v/>
      </c>
      <c r="N37" s="36"/>
    </row>
    <row r="38" spans="1:39" ht="20.25" customHeight="1" x14ac:dyDescent="0.2">
      <c r="E38" s="48"/>
      <c r="F38" s="49" t="s">
        <v>2</v>
      </c>
      <c r="G38" s="49" t="s">
        <v>125</v>
      </c>
      <c r="H38" s="49" t="s">
        <v>126</v>
      </c>
      <c r="K38" s="36" t="str">
        <f>IF(27&gt;Inputs!$E$12,"",Model!D30/12)</f>
        <v/>
      </c>
      <c r="L38" s="36" t="str">
        <f>IF(27&gt;Inputs!$E$12,"",Model!E30/12)</f>
        <v/>
      </c>
      <c r="M38" s="36" t="str">
        <f>IF(27&gt;Inputs!$E$12,"",Model!F30/12)</f>
        <v/>
      </c>
      <c r="N38" s="36"/>
      <c r="AB38" s="29" t="s">
        <v>3</v>
      </c>
      <c r="AC38" s="29" t="s">
        <v>127</v>
      </c>
      <c r="AD38" s="29" t="s">
        <v>128</v>
      </c>
      <c r="AE38" s="29" t="s">
        <v>129</v>
      </c>
      <c r="AF38" s="29" t="s">
        <v>130</v>
      </c>
      <c r="AG38" s="29" t="s">
        <v>131</v>
      </c>
      <c r="AH38" s="29" t="s">
        <v>132</v>
      </c>
      <c r="AI38" s="29" t="s">
        <v>133</v>
      </c>
      <c r="AJ38" s="29" t="s">
        <v>134</v>
      </c>
      <c r="AK38" s="29" t="s">
        <v>135</v>
      </c>
      <c r="AL38" s="29" t="s">
        <v>136</v>
      </c>
      <c r="AM38" s="29" t="s">
        <v>137</v>
      </c>
    </row>
    <row r="39" spans="1:39" ht="20.25" customHeight="1" x14ac:dyDescent="0.2">
      <c r="E39" s="48"/>
      <c r="F39" s="53">
        <f>IFERROR(INDEX($AB$39:$AB$63, MATCH(TRUE,$AK$39:$AK$63,0)),"25+")</f>
        <v>1</v>
      </c>
      <c r="G39" s="54">
        <f>INDEX($AF$39:$AF$63,10)</f>
        <v>2679.3783797029209</v>
      </c>
      <c r="H39" s="54">
        <f>INDEX($AF$39:$AF$63,25)</f>
        <v>17220.972159282544</v>
      </c>
      <c r="K39" s="36" t="str">
        <f>IF(28&gt;Inputs!$E$12,"",Model!D31/12)</f>
        <v/>
      </c>
      <c r="L39" s="36" t="str">
        <f>IF(28&gt;Inputs!$E$12,"",Model!E31/12)</f>
        <v/>
      </c>
      <c r="M39" s="36" t="str">
        <f>IF(28&gt;Inputs!$E$12,"",Model!F31/12)</f>
        <v/>
      </c>
      <c r="N39" s="36"/>
      <c r="AB39" s="29">
        <v>1</v>
      </c>
      <c r="AC39" s="29">
        <f>INDEX(Model!$D:$D,3+AB39)</f>
        <v>1612.6736842105263</v>
      </c>
      <c r="AD39" s="29">
        <f>MAX(0,AC39*((Inputs!$E$13)-1))</f>
        <v>0</v>
      </c>
      <c r="AE39" s="29">
        <f>AC39-(AD39+($B$65*12-Inputs!$E$14)*POWER(1+$C$65,AB39-1))</f>
        <v>140.67368421052629</v>
      </c>
      <c r="AF39" s="29">
        <f>AE39</f>
        <v>140.67368421052629</v>
      </c>
      <c r="AG39" s="29">
        <f>AC39-(AD39+($B$66*12-Inputs!$E$14)*POWER(1+$C$66,AB39-1))</f>
        <v>-1203.3263157894737</v>
      </c>
      <c r="AH39" s="29">
        <f>AG39</f>
        <v>-1203.3263157894737</v>
      </c>
      <c r="AI39" s="29">
        <f>AC39-(AD39+($B$67*12-Inputs!$E$14)*POWER(1+$C$67,AB39-1))</f>
        <v>47.073684210526153</v>
      </c>
      <c r="AJ39" s="29">
        <f>AI39</f>
        <v>47.073684210526153</v>
      </c>
      <c r="AK39" s="29" t="b">
        <f t="shared" ref="AK39:AK63" si="0">AF39&gt;=0</f>
        <v>1</v>
      </c>
      <c r="AL39" s="29" t="b">
        <f t="shared" ref="AL39:AL63" si="1">AH39&gt;=0</f>
        <v>0</v>
      </c>
      <c r="AM39" s="29" t="b">
        <f t="shared" ref="AM39:AM63" si="2">AJ39&gt;=0</f>
        <v>1</v>
      </c>
    </row>
    <row r="40" spans="1:39" ht="20.25" customHeight="1" x14ac:dyDescent="0.2">
      <c r="E40" s="48"/>
      <c r="F40" s="53" t="str">
        <f>IFERROR(INDEX($AB$39:$AB$63, MATCH(TRUE,$AL$39:$AL$63,0)),"25+")</f>
        <v>25+</v>
      </c>
      <c r="G40" s="54">
        <f>INDEX($AH$39:$AH$63,10)</f>
        <v>-13087.614028148164</v>
      </c>
      <c r="H40" s="54">
        <f>INDEX($AH$39:$AH$63,25)</f>
        <v>-35127.635236571921</v>
      </c>
      <c r="K40" s="36" t="str">
        <f>IF(29&gt;Inputs!$E$12,"",Model!D32/12)</f>
        <v/>
      </c>
      <c r="L40" s="36" t="str">
        <f>IF(29&gt;Inputs!$E$12,"",Model!E32/12)</f>
        <v/>
      </c>
      <c r="M40" s="36" t="str">
        <f>IF(29&gt;Inputs!$E$12,"",Model!F32/12)</f>
        <v/>
      </c>
      <c r="N40" s="36"/>
      <c r="AB40" s="29">
        <f t="shared" ref="AB40:AB63" si="3">AB39+1</f>
        <v>2</v>
      </c>
      <c r="AC40" s="29">
        <f>INDEX(Model!$D:$D,3+AB40)</f>
        <v>1690.7270905263158</v>
      </c>
      <c r="AD40" s="29">
        <f>MAX(0,AC40*(1-MIN(Inputs!$E$13,1)))</f>
        <v>16.907270905263172</v>
      </c>
      <c r="AE40" s="29">
        <f>AC40-(AD40+($B$65*12-Inputs!$E$14)*POWER(1+$C$65,AB40-1))</f>
        <v>150.29981962105262</v>
      </c>
      <c r="AF40" s="29">
        <f t="shared" ref="AF40:AF63" si="4">AF39+AE40</f>
        <v>290.97350383157891</v>
      </c>
      <c r="AG40" s="29">
        <f>AC40-(AD40+($B$66*12-Inputs!$E$14)*POWER(1+$C$66,AB40-1))</f>
        <v>-1240.7401803789471</v>
      </c>
      <c r="AH40" s="29">
        <f t="shared" ref="AH40:AH63" si="5">AH39+AG40</f>
        <v>-2444.0664961684206</v>
      </c>
      <c r="AI40" s="29">
        <f>AC40-(AD40+($B$67*12-Inputs!$E$14)*POWER(1+$C$67,AB40-1))</f>
        <v>61.408379621052291</v>
      </c>
      <c r="AJ40" s="29">
        <f t="shared" ref="AJ40:AJ63" si="6">AJ39+AI40</f>
        <v>108.48206383157844</v>
      </c>
      <c r="AK40" s="29" t="b">
        <f t="shared" si="0"/>
        <v>1</v>
      </c>
      <c r="AL40" s="29" t="b">
        <f t="shared" si="1"/>
        <v>0</v>
      </c>
      <c r="AM40" s="29" t="b">
        <f t="shared" si="2"/>
        <v>1</v>
      </c>
    </row>
    <row r="41" spans="1:39" ht="20.25" customHeight="1" x14ac:dyDescent="0.2">
      <c r="E41" s="48"/>
      <c r="F41" s="53">
        <f>IFERROR(INDEX($AB$39:$AB$63, MATCH(TRUE,$AM$39:$AM$63,0)),"25+")</f>
        <v>1</v>
      </c>
      <c r="G41" s="54">
        <f>INDEX($AJ$39:$AJ$63,10)</f>
        <v>2008.4030640044782</v>
      </c>
      <c r="H41" s="54">
        <f>INDEX($AJ$39:$AJ$63,25)</f>
        <v>17549.420971781234</v>
      </c>
      <c r="K41" s="36" t="str">
        <f>IF(30&gt;Inputs!$E$12,"",Model!D33/12)</f>
        <v/>
      </c>
      <c r="L41" s="36" t="str">
        <f>IF(30&gt;Inputs!$E$12,"",Model!E33/12)</f>
        <v/>
      </c>
      <c r="M41" s="36" t="str">
        <f>IF(30&gt;Inputs!$E$12,"",Model!F33/12)</f>
        <v/>
      </c>
      <c r="N41" s="36"/>
      <c r="AB41" s="29">
        <f t="shared" si="3"/>
        <v>3</v>
      </c>
      <c r="AC41" s="29">
        <f>INDEX(Model!$D:$D,3+AB41)</f>
        <v>1772.5582817077893</v>
      </c>
      <c r="AD41" s="29">
        <f>MAX(0,AC41*(1-MIN(Inputs!$E$13,1)))</f>
        <v>17.72558281707791</v>
      </c>
      <c r="AE41" s="29">
        <f>AC41-(AD41+($B$65*12-Inputs!$E$14)*POWER(1+$C$65,AB41-1))</f>
        <v>177.9894988907115</v>
      </c>
      <c r="AF41" s="29">
        <f t="shared" si="4"/>
        <v>468.96300272229041</v>
      </c>
      <c r="AG41" s="29">
        <f>AC41-(AD41+($B$66*12-Inputs!$E$14)*POWER(1+$C$66,AB41-1))</f>
        <v>-1261.7369011092883</v>
      </c>
      <c r="AH41" s="29">
        <f t="shared" si="5"/>
        <v>-3705.8033972777089</v>
      </c>
      <c r="AI41" s="29">
        <f>AC41-(AD41+($B$67*12-Inputs!$E$14)*POWER(1+$C$67,AB41-1))</f>
        <v>94.210156834710915</v>
      </c>
      <c r="AJ41" s="29">
        <f t="shared" si="6"/>
        <v>202.69222066628936</v>
      </c>
      <c r="AK41" s="29" t="b">
        <f t="shared" si="0"/>
        <v>1</v>
      </c>
      <c r="AL41" s="29" t="b">
        <f t="shared" si="1"/>
        <v>0</v>
      </c>
      <c r="AM41" s="29" t="b">
        <f t="shared" si="2"/>
        <v>1</v>
      </c>
    </row>
    <row r="42" spans="1:39" ht="20.25" customHeight="1" x14ac:dyDescent="0.2">
      <c r="E42" s="48"/>
      <c r="F42" s="48"/>
      <c r="G42" s="48"/>
      <c r="H42" s="48"/>
      <c r="AB42" s="29">
        <f t="shared" si="3"/>
        <v>4</v>
      </c>
      <c r="AC42" s="29">
        <f>INDEX(Model!$D:$D,3+AB42)</f>
        <v>1858.3501025424466</v>
      </c>
      <c r="AD42" s="29">
        <f>MAX(0,AC42*(1-MIN(Inputs!$E$13,1)))</f>
        <v>18.583501025424482</v>
      </c>
      <c r="AE42" s="29">
        <f>AC42-(AD42+($B$65*12-Inputs!$E$14)*POWER(1+$C$65,AB42-1))</f>
        <v>207.73388951702236</v>
      </c>
      <c r="AF42" s="29">
        <f t="shared" si="4"/>
        <v>676.69689223931277</v>
      </c>
      <c r="AG42" s="29">
        <f>AC42-(AD42+($B$66*12-Inputs!$E$14)*POWER(1+$C$66,AB42-1))</f>
        <v>-1282.3829344829774</v>
      </c>
      <c r="AH42" s="29">
        <f t="shared" si="5"/>
        <v>-4988.1863317606858</v>
      </c>
      <c r="AI42" s="29">
        <f>AC42-(AD42+($B$67*12-Inputs!$E$14)*POWER(1+$C$67,AB42-1))</f>
        <v>129.49144545354716</v>
      </c>
      <c r="AJ42" s="29">
        <f t="shared" si="6"/>
        <v>332.18366611983652</v>
      </c>
      <c r="AK42" s="29" t="b">
        <f t="shared" si="0"/>
        <v>1</v>
      </c>
      <c r="AL42" s="29" t="b">
        <f t="shared" si="1"/>
        <v>0</v>
      </c>
      <c r="AM42" s="29" t="b">
        <f t="shared" si="2"/>
        <v>1</v>
      </c>
    </row>
    <row r="43" spans="1:39" ht="20.25" customHeight="1" x14ac:dyDescent="0.2">
      <c r="E43" s="48"/>
      <c r="F43" s="48"/>
      <c r="G43" s="48"/>
      <c r="H43" s="48"/>
      <c r="AB43" s="29">
        <f t="shared" si="3"/>
        <v>5</v>
      </c>
      <c r="AC43" s="29">
        <f>INDEX(Model!$D:$D,3+AB43)</f>
        <v>1948.2942475055008</v>
      </c>
      <c r="AD43" s="29">
        <f>MAX(0,AC43*(1-MIN(Inputs!$E$13,1)))</f>
        <v>19.482942475055026</v>
      </c>
      <c r="AE43" s="29">
        <f>AC43-(AD43+($B$65*12-Inputs!$E$14)*POWER(1+$C$65,AB43-1))</f>
        <v>239.65744811044624</v>
      </c>
      <c r="AF43" s="29">
        <f t="shared" si="4"/>
        <v>916.35434034975901</v>
      </c>
      <c r="AG43" s="29">
        <f>AC43-(AD43+($B$66*12-Inputs!$E$14)*POWER(1+$C$66,AB43-1))</f>
        <v>-1302.6134647295532</v>
      </c>
      <c r="AH43" s="29">
        <f t="shared" si="5"/>
        <v>-6290.7997964902388</v>
      </c>
      <c r="AI43" s="29">
        <f>AC43-(AD43+($B$67*12-Inputs!$E$14)*POWER(1+$C$67,AB43-1))</f>
        <v>167.39892180067272</v>
      </c>
      <c r="AJ43" s="29">
        <f t="shared" si="6"/>
        <v>499.58258792050924</v>
      </c>
      <c r="AK43" s="29" t="b">
        <f t="shared" si="0"/>
        <v>1</v>
      </c>
      <c r="AL43" s="29" t="b">
        <f t="shared" si="1"/>
        <v>0</v>
      </c>
      <c r="AM43" s="29" t="b">
        <f t="shared" si="2"/>
        <v>1</v>
      </c>
    </row>
    <row r="44" spans="1:39" ht="20.25" customHeight="1" x14ac:dyDescent="0.2">
      <c r="E44" s="48"/>
      <c r="F44" s="48"/>
      <c r="G44" s="48"/>
      <c r="H44" s="48"/>
      <c r="AB44" s="29">
        <f t="shared" si="3"/>
        <v>6</v>
      </c>
      <c r="AC44" s="29">
        <f>INDEX(Model!$D:$D,3+AB44)</f>
        <v>2042.5916890847673</v>
      </c>
      <c r="AD44" s="29">
        <f>MAX(0,AC44*(1-MIN(Inputs!$E$13,1)))</f>
        <v>20.425916890847692</v>
      </c>
      <c r="AE44" s="29">
        <f>AC44-(AD44+($B$65*12-Inputs!$E$14)*POWER(1+$C$65,AB44-1))</f>
        <v>273.89153028172041</v>
      </c>
      <c r="AF44" s="29">
        <f t="shared" si="4"/>
        <v>1190.2458706314794</v>
      </c>
      <c r="AG44" s="29">
        <f>AC44-(AD44+($B$66*12-Inputs!$E$14)*POWER(1+$C$66,AB44-1))</f>
        <v>-1322.3588645076786</v>
      </c>
      <c r="AH44" s="29">
        <f t="shared" si="5"/>
        <v>-7613.1586609979177</v>
      </c>
      <c r="AI44" s="29">
        <f>AC44-(AD44+($B$67*12-Inputs!$E$14)*POWER(1+$C$67,AB44-1))</f>
        <v>208.08715870557626</v>
      </c>
      <c r="AJ44" s="29">
        <f t="shared" si="6"/>
        <v>707.6697466260855</v>
      </c>
      <c r="AK44" s="29" t="b">
        <f t="shared" si="0"/>
        <v>1</v>
      </c>
      <c r="AL44" s="29" t="b">
        <f t="shared" si="1"/>
        <v>0</v>
      </c>
      <c r="AM44" s="29" t="b">
        <f t="shared" si="2"/>
        <v>1</v>
      </c>
    </row>
    <row r="45" spans="1:39" ht="20.25" customHeight="1" x14ac:dyDescent="0.2">
      <c r="E45" s="48"/>
      <c r="F45" s="48"/>
      <c r="G45" s="48"/>
      <c r="H45" s="48"/>
      <c r="AB45" s="29">
        <f t="shared" si="3"/>
        <v>7</v>
      </c>
      <c r="AC45" s="29">
        <f>INDEX(Model!$D:$D,3+AB45)</f>
        <v>2141.4531268364694</v>
      </c>
      <c r="AD45" s="29">
        <f>MAX(0,AC45*(1-MIN(Inputs!$E$13,1)))</f>
        <v>21.414531268364712</v>
      </c>
      <c r="AE45" s="29">
        <f>AC45-(AD45+($B$65*12-Inputs!$E$14)*POWER(1+$C$65,AB45-1))</f>
        <v>310.57475518897832</v>
      </c>
      <c r="AF45" s="29">
        <f t="shared" si="4"/>
        <v>1500.8206258204577</v>
      </c>
      <c r="AG45" s="29">
        <f>AC45-(AD45+($B$66*12-Inputs!$E$14)*POWER(1+$C$66,AB45-1))</f>
        <v>-1341.54440341805</v>
      </c>
      <c r="AH45" s="29">
        <f t="shared" si="5"/>
        <v>-8954.7030644159677</v>
      </c>
      <c r="AI45" s="29">
        <f>AC45-(AD45+($B$67*12-Inputs!$E$14)*POWER(1+$C$67,AB45-1))</f>
        <v>251.71903153645962</v>
      </c>
      <c r="AJ45" s="29">
        <f t="shared" si="6"/>
        <v>959.38877816254512</v>
      </c>
      <c r="AK45" s="29" t="b">
        <f t="shared" si="0"/>
        <v>1</v>
      </c>
      <c r="AL45" s="29" t="b">
        <f t="shared" si="1"/>
        <v>0</v>
      </c>
      <c r="AM45" s="29" t="b">
        <f t="shared" si="2"/>
        <v>1</v>
      </c>
    </row>
    <row r="46" spans="1:39" ht="20.25" customHeight="1" x14ac:dyDescent="0.2">
      <c r="E46" s="48"/>
      <c r="F46" s="48"/>
      <c r="G46" s="48"/>
      <c r="H46" s="48"/>
      <c r="AB46" s="29">
        <f t="shared" si="3"/>
        <v>8</v>
      </c>
      <c r="AC46" s="29">
        <f>INDEX(Model!$D:$D,3+AB46)</f>
        <v>2245.0994581753553</v>
      </c>
      <c r="AD46" s="29">
        <f>MAX(0,AC46*(1-MIN(Inputs!$E$13,1)))</f>
        <v>22.450994581753573</v>
      </c>
      <c r="AE46" s="29">
        <f>AC46-(AD46+($B$65*12-Inputs!$E$14)*POWER(1+$C$65,AB46-1))</f>
        <v>349.85338880120617</v>
      </c>
      <c r="AF46" s="29">
        <f t="shared" si="4"/>
        <v>1850.6740146216639</v>
      </c>
      <c r="AG46" s="29">
        <f>AC46-(AD46+($B$66*12-Inputs!$E$14)*POWER(1+$C$66,AB46-1))</f>
        <v>-1360.0899403570679</v>
      </c>
      <c r="AH46" s="29">
        <f t="shared" si="5"/>
        <v>-10314.793004773035</v>
      </c>
      <c r="AI46" s="29">
        <f>AC46-(AD46+($B$67*12-Inputs!$E$14)*POWER(1+$C$67,AB46-1))</f>
        <v>298.46614459741045</v>
      </c>
      <c r="AJ46" s="29">
        <f t="shared" si="6"/>
        <v>1257.8549227599556</v>
      </c>
      <c r="AK46" s="29" t="b">
        <f t="shared" si="0"/>
        <v>1</v>
      </c>
      <c r="AL46" s="29" t="b">
        <f t="shared" si="1"/>
        <v>0</v>
      </c>
      <c r="AM46" s="29" t="b">
        <f t="shared" si="2"/>
        <v>1</v>
      </c>
    </row>
    <row r="47" spans="1:39" ht="20.25" customHeight="1" x14ac:dyDescent="0.2">
      <c r="E47" s="48"/>
      <c r="F47" s="48"/>
      <c r="G47" s="48"/>
      <c r="H47" s="48"/>
      <c r="AB47" s="29">
        <f t="shared" si="3"/>
        <v>9</v>
      </c>
      <c r="AC47" s="29">
        <f>INDEX(Model!$D:$D,3+AB47)</f>
        <v>2353.7622719510418</v>
      </c>
      <c r="AD47" s="29">
        <f>MAX(0,AC47*(1-MIN(Inputs!$E$13,1)))</f>
        <v>23.537622719510438</v>
      </c>
      <c r="AE47" s="29">
        <f>AC47-(AD47+($B$65*12-Inputs!$E$14)*POWER(1+$C$65,AB47-1))</f>
        <v>391.88174682140243</v>
      </c>
      <c r="AF47" s="29">
        <f t="shared" si="4"/>
        <v>2242.5557614430663</v>
      </c>
      <c r="AG47" s="29">
        <f>AC47-(AD47+($B$66*12-Inputs!$E$14)*POWER(1+$C$66,AB47-1))</f>
        <v>-1377.9095988574113</v>
      </c>
      <c r="AH47" s="29">
        <f t="shared" si="5"/>
        <v>-11692.702603630447</v>
      </c>
      <c r="AI47" s="29">
        <f>AC47-(AD47+($B$67*12-Inputs!$E$14)*POWER(1+$C$67,AB47-1))</f>
        <v>348.50927889735408</v>
      </c>
      <c r="AJ47" s="29">
        <f t="shared" si="6"/>
        <v>1606.3642016573096</v>
      </c>
      <c r="AK47" s="29" t="b">
        <f t="shared" si="0"/>
        <v>1</v>
      </c>
      <c r="AL47" s="29" t="b">
        <f t="shared" si="1"/>
        <v>0</v>
      </c>
      <c r="AM47" s="29" t="b">
        <f t="shared" si="2"/>
        <v>1</v>
      </c>
    </row>
    <row r="48" spans="1:39" ht="20.25" customHeight="1" x14ac:dyDescent="0.2">
      <c r="E48" s="48"/>
      <c r="F48" s="48"/>
      <c r="G48" s="48"/>
      <c r="H48" s="48"/>
      <c r="AB48" s="29">
        <f t="shared" si="3"/>
        <v>10</v>
      </c>
      <c r="AC48" s="29">
        <f>INDEX(Model!$D:$D,3+AB48)</f>
        <v>2467.6843659134724</v>
      </c>
      <c r="AD48" s="29">
        <f>MAX(0,AC48*(1-MIN(Inputs!$E$13,1)))</f>
        <v>24.676843659134747</v>
      </c>
      <c r="AE48" s="29">
        <f>AC48-(AD48+($B$65*12-Inputs!$E$14)*POWER(1+$C$65,AB48-1))</f>
        <v>436.82261825985461</v>
      </c>
      <c r="AF48" s="29">
        <f t="shared" si="4"/>
        <v>2679.3783797029209</v>
      </c>
      <c r="AG48" s="29">
        <f>AC48-(AD48+($B$66*12-Inputs!$E$14)*POWER(1+$C$66,AB48-1))</f>
        <v>-1394.911424517717</v>
      </c>
      <c r="AH48" s="29">
        <f t="shared" si="5"/>
        <v>-13087.614028148164</v>
      </c>
      <c r="AI48" s="29">
        <f>AC48-(AD48+($B$67*12-Inputs!$E$14)*POWER(1+$C$67,AB48-1))</f>
        <v>402.03886234716856</v>
      </c>
      <c r="AJ48" s="29">
        <f t="shared" si="6"/>
        <v>2008.4030640044782</v>
      </c>
      <c r="AK48" s="29" t="b">
        <f t="shared" si="0"/>
        <v>1</v>
      </c>
      <c r="AL48" s="29" t="b">
        <f t="shared" si="1"/>
        <v>0</v>
      </c>
      <c r="AM48" s="29" t="b">
        <f t="shared" si="2"/>
        <v>1</v>
      </c>
    </row>
    <row r="49" spans="1:39" ht="20.25" customHeight="1" x14ac:dyDescent="0.2">
      <c r="A49" s="48"/>
      <c r="B49" s="48"/>
      <c r="C49" s="48"/>
      <c r="D49" s="48"/>
      <c r="E49" s="48"/>
      <c r="F49" s="48"/>
      <c r="G49" s="48"/>
      <c r="H49" s="48"/>
      <c r="AB49" s="29">
        <f t="shared" si="3"/>
        <v>11</v>
      </c>
      <c r="AC49" s="29">
        <f>INDEX(Model!$D:$D,3+AB49)</f>
        <v>2587.1202892236847</v>
      </c>
      <c r="AD49" s="29">
        <f>MAX(0,AC49*(1-MIN(Inputs!$E$13,1)))</f>
        <v>25.87120289223687</v>
      </c>
      <c r="AE49" s="29">
        <f>AC49-(AD49+($B$65*12-Inputs!$E$14)*POWER(1+$C$65,AB49-1))</f>
        <v>484.84771069715771</v>
      </c>
      <c r="AF49" s="29">
        <f t="shared" si="4"/>
        <v>3164.2260904000786</v>
      </c>
      <c r="AG49" s="29">
        <f>AC49-(AD49+($B$66*12-Inputs!$E$14)*POWER(1+$C$66,AB49-1))</f>
        <v>-1410.9970235776291</v>
      </c>
      <c r="AH49" s="29">
        <f t="shared" si="5"/>
        <v>-14498.611051725793</v>
      </c>
      <c r="AI49" s="29">
        <f>AC49-(AD49+($B$67*12-Inputs!$E$14)*POWER(1+$C$67,AB49-1))</f>
        <v>459.25546349305387</v>
      </c>
      <c r="AJ49" s="29">
        <f t="shared" si="6"/>
        <v>2467.6585274975323</v>
      </c>
      <c r="AK49" s="29" t="b">
        <f t="shared" si="0"/>
        <v>1</v>
      </c>
      <c r="AL49" s="29" t="b">
        <f t="shared" si="1"/>
        <v>0</v>
      </c>
      <c r="AM49" s="29" t="b">
        <f t="shared" si="2"/>
        <v>1</v>
      </c>
    </row>
    <row r="50" spans="1:39" ht="20.25" customHeight="1" x14ac:dyDescent="0.2">
      <c r="A50" s="48"/>
      <c r="B50" s="48"/>
      <c r="C50" s="48"/>
      <c r="D50" s="48"/>
      <c r="E50" s="48"/>
      <c r="F50" s="48"/>
      <c r="G50" s="48"/>
      <c r="H50" s="48"/>
      <c r="AB50" s="29">
        <f t="shared" si="3"/>
        <v>12</v>
      </c>
      <c r="AC50" s="29">
        <f>INDEX(Model!$D:$D,3+AB50)</f>
        <v>2712.3369112221108</v>
      </c>
      <c r="AD50" s="29">
        <f>MAX(0,AC50*(1-MIN(Inputs!$E$13,1)))</f>
        <v>27.12336911222113</v>
      </c>
      <c r="AE50" s="29">
        <f>AC50-(AD50+($B$65*12-Inputs!$E$14)*POWER(1+$C$65,AB50-1))</f>
        <v>536.13811832839929</v>
      </c>
      <c r="AF50" s="29">
        <f t="shared" si="4"/>
        <v>3700.3642087284779</v>
      </c>
      <c r="AG50" s="29">
        <f>AC50-(AD50+($B$66*12-Inputs!$E$14)*POWER(1+$C$66,AB50-1))</f>
        <v>-1426.061181646005</v>
      </c>
      <c r="AH50" s="29">
        <f t="shared" si="5"/>
        <v>-15924.672233371799</v>
      </c>
      <c r="AI50" s="29">
        <f>AC50-(AD50+($B$67*12-Inputs!$E$14)*POWER(1+$C$67,AB50-1))</f>
        <v>520.37030994862744</v>
      </c>
      <c r="AJ50" s="29">
        <f t="shared" si="6"/>
        <v>2988.0288374461597</v>
      </c>
      <c r="AK50" s="29" t="b">
        <f t="shared" si="0"/>
        <v>1</v>
      </c>
      <c r="AL50" s="29" t="b">
        <f t="shared" si="1"/>
        <v>0</v>
      </c>
      <c r="AM50" s="29" t="b">
        <f t="shared" si="2"/>
        <v>1</v>
      </c>
    </row>
    <row r="51" spans="1:39" ht="20.25" customHeight="1" x14ac:dyDescent="0.2">
      <c r="A51" s="48"/>
      <c r="B51" s="48"/>
      <c r="C51" s="48"/>
      <c r="D51" s="48"/>
      <c r="E51" s="48"/>
      <c r="F51" s="48"/>
      <c r="G51" s="48"/>
      <c r="H51" s="48"/>
      <c r="AB51" s="29">
        <f t="shared" si="3"/>
        <v>13</v>
      </c>
      <c r="AC51" s="29">
        <f>INDEX(Model!$D:$D,3+AB51)</f>
        <v>2843.614017725261</v>
      </c>
      <c r="AD51" s="29">
        <f>MAX(0,AC51*(1-MIN(Inputs!$E$13,1)))</f>
        <v>28.436140177252636</v>
      </c>
      <c r="AE51" s="29">
        <f>AC51-(AD51+($B$65*12-Inputs!$E$14)*POWER(1+$C$65,AB51-1))</f>
        <v>590.88481393416578</v>
      </c>
      <c r="AF51" s="29">
        <f t="shared" si="4"/>
        <v>4291.2490226626433</v>
      </c>
      <c r="AG51" s="29">
        <f>AC51-(AD51+($B$66*12-Inputs!$E$14)*POWER(1+$C$66,AB51-1))</f>
        <v>-1439.9914615393427</v>
      </c>
      <c r="AH51" s="29">
        <f t="shared" si="5"/>
        <v>-17364.663694911142</v>
      </c>
      <c r="AI51" s="29">
        <f>AC51-(AD51+($B$67*12-Inputs!$E$14)*POWER(1+$C$67,AB51-1))</f>
        <v>585.60583274512419</v>
      </c>
      <c r="AJ51" s="29">
        <f t="shared" si="6"/>
        <v>3573.6346701912839</v>
      </c>
      <c r="AK51" s="29" t="b">
        <f t="shared" si="0"/>
        <v>1</v>
      </c>
      <c r="AL51" s="29" t="b">
        <f t="shared" si="1"/>
        <v>0</v>
      </c>
      <c r="AM51" s="29" t="b">
        <f t="shared" si="2"/>
        <v>1</v>
      </c>
    </row>
    <row r="52" spans="1:39" ht="20.25" customHeight="1" x14ac:dyDescent="0.2">
      <c r="A52" s="48"/>
      <c r="B52" s="48"/>
      <c r="C52" s="48"/>
      <c r="D52" s="48"/>
      <c r="E52" s="48"/>
      <c r="F52" s="48"/>
      <c r="G52" s="48"/>
      <c r="H52" s="48"/>
      <c r="AB52" s="29">
        <f t="shared" si="3"/>
        <v>14</v>
      </c>
      <c r="AC52" s="29">
        <f>INDEX(Model!$D:$D,3+AB52)</f>
        <v>2981.2449361831641</v>
      </c>
      <c r="AD52" s="29">
        <f>MAX(0,AC52*(1-MIN(Inputs!$E$13,1)))</f>
        <v>29.812449361831668</v>
      </c>
      <c r="AE52" s="29">
        <f>AC52-(AD52+($B$65*12-Inputs!$E$14)*POWER(1+$C$65,AB52-1))</f>
        <v>649.28916598100614</v>
      </c>
      <c r="AF52" s="29">
        <f t="shared" si="4"/>
        <v>4940.5381886436498</v>
      </c>
      <c r="AG52" s="29">
        <f>AC52-(AD52+($B$66*12-Inputs!$E$14)*POWER(1+$C$66,AB52-1))</f>
        <v>-1452.6677791340744</v>
      </c>
      <c r="AH52" s="29">
        <f t="shared" si="5"/>
        <v>-18817.331474045215</v>
      </c>
      <c r="AI52" s="29">
        <f>AC52-(AD52+($B$67*12-Inputs!$E$14)*POWER(1+$C$67,AB52-1))</f>
        <v>655.19623787884257</v>
      </c>
      <c r="AJ52" s="29">
        <f t="shared" si="6"/>
        <v>4228.8309080701265</v>
      </c>
      <c r="AK52" s="29" t="b">
        <f t="shared" si="0"/>
        <v>1</v>
      </c>
      <c r="AL52" s="29" t="b">
        <f t="shared" si="1"/>
        <v>0</v>
      </c>
      <c r="AM52" s="29" t="b">
        <f t="shared" si="2"/>
        <v>1</v>
      </c>
    </row>
    <row r="53" spans="1:39" ht="20.25" customHeight="1" x14ac:dyDescent="0.2">
      <c r="A53" s="48"/>
      <c r="B53" s="48"/>
      <c r="C53" s="48"/>
      <c r="D53" s="48"/>
      <c r="E53" s="48"/>
      <c r="F53" s="48"/>
      <c r="G53" s="48"/>
      <c r="H53" s="48"/>
      <c r="AB53" s="29">
        <f t="shared" si="3"/>
        <v>15</v>
      </c>
      <c r="AC53" s="29">
        <f>INDEX(Model!$D:$D,3+AB53)</f>
        <v>3125.5371910944286</v>
      </c>
      <c r="AD53" s="29">
        <f>MAX(0,AC53*(1-MIN(Inputs!$E$13,1)))</f>
        <v>31.255371910944316</v>
      </c>
      <c r="AE53" s="29">
        <f>AC53-(AD53+($B$65*12-Inputs!$E$14)*POWER(1+$C$65,AB53-1))</f>
        <v>711.56348211374643</v>
      </c>
      <c r="AF53" s="29">
        <f t="shared" si="4"/>
        <v>5652.1016707573963</v>
      </c>
      <c r="AG53" s="29">
        <f>AC53-(AD53+($B$66*12-Inputs!$E$14)*POWER(1+$C$66,AB53-1))</f>
        <v>-1463.9619560803631</v>
      </c>
      <c r="AH53" s="29">
        <f t="shared" si="5"/>
        <v>-20281.293430125577</v>
      </c>
      <c r="AI53" s="29">
        <f>AC53-(AD53+($B$67*12-Inputs!$E$14)*POWER(1+$C$67,AB53-1))</f>
        <v>729.38810639761368</v>
      </c>
      <c r="AJ53" s="29">
        <f t="shared" si="6"/>
        <v>4958.2190144677406</v>
      </c>
      <c r="AK53" s="29" t="b">
        <f t="shared" si="0"/>
        <v>1</v>
      </c>
      <c r="AL53" s="29" t="b">
        <f t="shared" si="1"/>
        <v>0</v>
      </c>
      <c r="AM53" s="29" t="b">
        <f t="shared" si="2"/>
        <v>1</v>
      </c>
    </row>
    <row r="54" spans="1:39" ht="20.25" customHeight="1" x14ac:dyDescent="0.2">
      <c r="A54" s="32"/>
      <c r="B54" s="32"/>
      <c r="C54" s="32"/>
      <c r="D54" s="32"/>
      <c r="E54" s="48"/>
      <c r="F54" s="48"/>
      <c r="G54" s="48"/>
      <c r="H54" s="48"/>
      <c r="AB54" s="29">
        <f t="shared" si="3"/>
        <v>16</v>
      </c>
      <c r="AC54" s="29">
        <f>INDEX(Model!$D:$D,3+AB54)</f>
        <v>3276.8131911433993</v>
      </c>
      <c r="AD54" s="29">
        <f>MAX(0,AC54*(1-MIN(Inputs!$E$13,1)))</f>
        <v>32.768131911434025</v>
      </c>
      <c r="AE54" s="29">
        <f>AC54-(AD54+($B$65*12-Inputs!$E$14)*POWER(1+$C$65,AB54-1))</f>
        <v>777.9315803647869</v>
      </c>
      <c r="AF54" s="29">
        <f t="shared" si="4"/>
        <v>6430.0332511221832</v>
      </c>
      <c r="AG54" s="29">
        <f>AC54-(AD54+($B$66*12-Inputs!$E$14)*POWER(1+$C$66,AB54-1))</f>
        <v>-1473.7372481661159</v>
      </c>
      <c r="AH54" s="29">
        <f t="shared" si="5"/>
        <v>-21755.030678291692</v>
      </c>
      <c r="AI54" s="29">
        <f>AC54-(AD54+($B$67*12-Inputs!$E$14)*POWER(1+$C$67,AB54-1))</f>
        <v>808.44102443379643</v>
      </c>
      <c r="AJ54" s="29">
        <f t="shared" si="6"/>
        <v>5766.6600389015366</v>
      </c>
      <c r="AK54" s="29" t="b">
        <f t="shared" si="0"/>
        <v>1</v>
      </c>
      <c r="AL54" s="29" t="b">
        <f t="shared" si="1"/>
        <v>0</v>
      </c>
      <c r="AM54" s="29" t="b">
        <f t="shared" si="2"/>
        <v>1</v>
      </c>
    </row>
    <row r="55" spans="1:39" ht="20.25" customHeight="1" x14ac:dyDescent="0.2">
      <c r="A55" s="32"/>
      <c r="B55" s="32"/>
      <c r="C55" s="32"/>
      <c r="D55" s="32"/>
      <c r="E55" s="48"/>
      <c r="F55" s="48"/>
      <c r="G55" s="48"/>
      <c r="H55" s="48"/>
      <c r="AB55" s="29">
        <f t="shared" si="3"/>
        <v>17</v>
      </c>
      <c r="AC55" s="29">
        <f>INDEX(Model!$D:$D,3+AB55)</f>
        <v>3435.4109495947396</v>
      </c>
      <c r="AD55" s="29">
        <f>MAX(0,AC55*(1-MIN(Inputs!$E$13,1)))</f>
        <v>34.354109495947426</v>
      </c>
      <c r="AE55" s="29">
        <f>AC55-(AD55+($B$65*12-Inputs!$E$14)*POWER(1+$C$65,AB55-1))</f>
        <v>848.62938947126304</v>
      </c>
      <c r="AF55" s="29">
        <f t="shared" si="4"/>
        <v>7278.6626405934458</v>
      </c>
      <c r="AG55" s="29">
        <f>AC55-(AD55+($B$66*12-Inputs!$E$14)*POWER(1+$C$66,AB55-1))</f>
        <v>-1481.8478480582198</v>
      </c>
      <c r="AH55" s="29">
        <f t="shared" si="5"/>
        <v>-23236.878526349912</v>
      </c>
      <c r="AI55" s="29">
        <f>AC55-(AD55+($B$67*12-Inputs!$E$14)*POWER(1+$C$67,AB55-1))</f>
        <v>892.62824466015854</v>
      </c>
      <c r="AJ55" s="29">
        <f t="shared" si="6"/>
        <v>6659.2882835616947</v>
      </c>
      <c r="AK55" s="29" t="b">
        <f t="shared" si="0"/>
        <v>1</v>
      </c>
      <c r="AL55" s="29" t="b">
        <f t="shared" si="1"/>
        <v>0</v>
      </c>
      <c r="AM55" s="29" t="b">
        <f t="shared" si="2"/>
        <v>1</v>
      </c>
    </row>
    <row r="56" spans="1:39" ht="20.25" customHeight="1" x14ac:dyDescent="0.2">
      <c r="A56" s="32"/>
      <c r="B56" s="32"/>
      <c r="C56" s="32"/>
      <c r="D56" s="32"/>
      <c r="E56" s="48"/>
      <c r="F56" s="48"/>
      <c r="G56" s="48"/>
      <c r="H56" s="48"/>
      <c r="AB56" s="29">
        <f t="shared" si="3"/>
        <v>18</v>
      </c>
      <c r="AC56" s="29">
        <f>INDEX(Model!$D:$D,3+AB56)</f>
        <v>3601.6848395551247</v>
      </c>
      <c r="AD56" s="29">
        <f>MAX(0,AC56*(1-MIN(Inputs!$E$13,1)))</f>
        <v>36.016848395551278</v>
      </c>
      <c r="AE56" s="29">
        <f>AC56-(AD56+($B$65*12-Inputs!$E$14)*POWER(1+$C$65,AB56-1))</f>
        <v>923.90557976008085</v>
      </c>
      <c r="AF56" s="29">
        <f t="shared" si="4"/>
        <v>8202.5682203535271</v>
      </c>
      <c r="AG56" s="29">
        <f>AC56-(AD56+($B$66*12-Inputs!$E$14)*POWER(1+$C$66,AB56-1))</f>
        <v>-1488.1383610829348</v>
      </c>
      <c r="AH56" s="29">
        <f t="shared" si="5"/>
        <v>-24725.016887432848</v>
      </c>
      <c r="AI56" s="29">
        <f>AC56-(AD56+($B$67*12-Inputs!$E$14)*POWER(1+$C$67,AB56-1))</f>
        <v>982.23738071732441</v>
      </c>
      <c r="AJ56" s="29">
        <f t="shared" si="6"/>
        <v>7641.5256642790191</v>
      </c>
      <c r="AK56" s="29" t="b">
        <f t="shared" si="0"/>
        <v>1</v>
      </c>
      <c r="AL56" s="29" t="b">
        <f t="shared" si="1"/>
        <v>0</v>
      </c>
      <c r="AM56" s="29" t="b">
        <f t="shared" si="2"/>
        <v>1</v>
      </c>
    </row>
    <row r="57" spans="1:39" ht="20.25" customHeight="1" x14ac:dyDescent="0.2">
      <c r="A57" s="32"/>
      <c r="B57" s="32"/>
      <c r="C57" s="32"/>
      <c r="D57" s="32"/>
      <c r="E57" s="48"/>
      <c r="F57" s="48"/>
      <c r="G57" s="48"/>
      <c r="H57" s="48"/>
      <c r="AB57" s="29">
        <f t="shared" si="3"/>
        <v>19</v>
      </c>
      <c r="AC57" s="29">
        <f>INDEX(Model!$D:$D,3+AB57)</f>
        <v>3776.0063857895925</v>
      </c>
      <c r="AD57" s="29">
        <f>MAX(0,AC57*(1-MIN(Inputs!$E$13,1)))</f>
        <v>37.760063857895958</v>
      </c>
      <c r="AE57" s="29">
        <f>AC57-(AD57+($B$65*12-Inputs!$E$14)*POWER(1+$C$65,AB57-1))</f>
        <v>1004.0222261332219</v>
      </c>
      <c r="AF57" s="29">
        <f t="shared" si="4"/>
        <v>9206.590446486749</v>
      </c>
      <c r="AG57" s="29">
        <f>AC57-(AD57+($B$66*12-Inputs!$E$14)*POWER(1+$C$66,AB57-1))</f>
        <v>-1492.4432526392989</v>
      </c>
      <c r="AH57" s="29">
        <f t="shared" si="5"/>
        <v>-26217.460140072148</v>
      </c>
      <c r="AI57" s="29">
        <f>AC57-(AD57+($B$67*12-Inputs!$E$14)*POWER(1+$C$67,AB57-1))</f>
        <v>1077.5711362372235</v>
      </c>
      <c r="AJ57" s="29">
        <f t="shared" si="6"/>
        <v>8719.0968005162431</v>
      </c>
      <c r="AK57" s="29" t="b">
        <f t="shared" si="0"/>
        <v>1</v>
      </c>
      <c r="AL57" s="29" t="b">
        <f t="shared" si="1"/>
        <v>0</v>
      </c>
      <c r="AM57" s="29" t="b">
        <f t="shared" si="2"/>
        <v>1</v>
      </c>
    </row>
    <row r="58" spans="1:39" ht="20.25" customHeight="1" x14ac:dyDescent="0.2">
      <c r="A58" s="32"/>
      <c r="B58" s="32"/>
      <c r="C58" s="32"/>
      <c r="D58" s="32"/>
      <c r="E58" s="48"/>
      <c r="F58" s="48"/>
      <c r="G58" s="48"/>
      <c r="H58" s="48"/>
      <c r="AB58" s="29">
        <f t="shared" si="3"/>
        <v>20</v>
      </c>
      <c r="AC58" s="29">
        <f>INDEX(Model!$D:$D,3+AB58)</f>
        <v>3958.7650948618093</v>
      </c>
      <c r="AD58" s="29">
        <f>MAX(0,AC58*(1-MIN(Inputs!$E$13,1)))</f>
        <v>39.587650948618126</v>
      </c>
      <c r="AE58" s="29">
        <f>AC58-(AD58+($B$65*12-Inputs!$E$14)*POWER(1+$C$65,AB58-1))</f>
        <v>1089.2555047617702</v>
      </c>
      <c r="AF58" s="29">
        <f t="shared" si="4"/>
        <v>10295.845951248519</v>
      </c>
      <c r="AG58" s="29">
        <f>AC58-(AD58+($B$66*12-Inputs!$E$14)*POWER(1+$C$66,AB58-1))</f>
        <v>-1494.5862657677881</v>
      </c>
      <c r="AH58" s="29">
        <f t="shared" si="5"/>
        <v>-27712.046405839938</v>
      </c>
      <c r="AI58" s="29">
        <f>AC58-(AD58+($B$67*12-Inputs!$E$14)*POWER(1+$C$67,AB58-1))</f>
        <v>1178.9480701664538</v>
      </c>
      <c r="AJ58" s="29">
        <f t="shared" si="6"/>
        <v>9898.0448706826974</v>
      </c>
      <c r="AK58" s="29" t="b">
        <f t="shared" si="0"/>
        <v>1</v>
      </c>
      <c r="AL58" s="29" t="b">
        <f t="shared" si="1"/>
        <v>0</v>
      </c>
      <c r="AM58" s="29" t="b">
        <f t="shared" si="2"/>
        <v>1</v>
      </c>
    </row>
    <row r="59" spans="1:39" ht="20.25" customHeight="1" x14ac:dyDescent="0.2">
      <c r="A59" s="32"/>
      <c r="B59" s="32"/>
      <c r="C59" s="32"/>
      <c r="D59" s="32"/>
      <c r="E59" s="48"/>
      <c r="F59" s="48"/>
      <c r="G59" s="48"/>
      <c r="H59" s="48"/>
      <c r="AB59" s="29">
        <f t="shared" si="3"/>
        <v>21</v>
      </c>
      <c r="AC59" s="29">
        <f>INDEX(Model!$D:$D,3+AB59)</f>
        <v>4150.3693254531208</v>
      </c>
      <c r="AD59" s="29">
        <f>MAX(0,AC59*(1-MIN(Inputs!$E$13,1)))</f>
        <v>41.503693254531242</v>
      </c>
      <c r="AE59" s="29">
        <f>AC59-(AD59+($B$65*12-Inputs!$E$14)*POWER(1+$C$65,AB59-1))</f>
        <v>1179.8964251768689</v>
      </c>
      <c r="AF59" s="29">
        <f t="shared" si="4"/>
        <v>11475.742376425387</v>
      </c>
      <c r="AG59" s="29">
        <f>AC59-(AD59+($B$66*12-Inputs!$E$14)*POWER(1+$C$66,AB59-1))</f>
        <v>-1494.3798073212229</v>
      </c>
      <c r="AH59" s="29">
        <f t="shared" si="5"/>
        <v>-29206.426213161161</v>
      </c>
      <c r="AI59" s="29">
        <f>AC59-(AD59+($B$67*12-Inputs!$E$14)*POWER(1+$C$67,AB59-1))</f>
        <v>1286.7034001768243</v>
      </c>
      <c r="AJ59" s="29">
        <f t="shared" si="6"/>
        <v>11184.748270859522</v>
      </c>
      <c r="AK59" s="29" t="b">
        <f t="shared" si="0"/>
        <v>1</v>
      </c>
      <c r="AL59" s="29" t="b">
        <f t="shared" si="1"/>
        <v>0</v>
      </c>
      <c r="AM59" s="29" t="b">
        <f t="shared" si="2"/>
        <v>1</v>
      </c>
    </row>
    <row r="60" spans="1:39" ht="20.25" customHeight="1" x14ac:dyDescent="0.2">
      <c r="A60" s="32"/>
      <c r="B60" s="32"/>
      <c r="C60" s="32"/>
      <c r="D60" s="32"/>
      <c r="E60" s="48"/>
      <c r="F60" s="48"/>
      <c r="G60" s="48"/>
      <c r="H60" s="48"/>
      <c r="AB60" s="29">
        <f t="shared" si="3"/>
        <v>22</v>
      </c>
      <c r="AC60" s="29">
        <f>INDEX(Model!$D:$D,3+AB60)</f>
        <v>4351.2472008050518</v>
      </c>
      <c r="AD60" s="29">
        <f>MAX(0,AC60*(1-MIN(Inputs!$E$13,1)))</f>
        <v>43.512472008050558</v>
      </c>
      <c r="AE60" s="29">
        <f>AC60-(AD60+($B$65*12-Inputs!$E$14)*POWER(1+$C$65,AB60-1))</f>
        <v>1276.2515995295207</v>
      </c>
      <c r="AF60" s="29">
        <f t="shared" si="4"/>
        <v>12751.993975954909</v>
      </c>
      <c r="AG60" s="29">
        <f>AC60-(AD60+($B$66*12-Inputs!$E$14)*POWER(1+$C$66,AB60-1))</f>
        <v>-1491.6243011060042</v>
      </c>
      <c r="AH60" s="29">
        <f t="shared" si="5"/>
        <v>-30698.050514267165</v>
      </c>
      <c r="AI60" s="29">
        <f>AC60-(AD60+($B$67*12-Inputs!$E$14)*POWER(1+$C$67,AB60-1))</f>
        <v>1401.1898460377847</v>
      </c>
      <c r="AJ60" s="29">
        <f t="shared" si="6"/>
        <v>12585.938116897307</v>
      </c>
      <c r="AK60" s="29" t="b">
        <f t="shared" si="0"/>
        <v>1</v>
      </c>
      <c r="AL60" s="29" t="b">
        <f t="shared" si="1"/>
        <v>0</v>
      </c>
      <c r="AM60" s="29" t="b">
        <f t="shared" si="2"/>
        <v>1</v>
      </c>
    </row>
    <row r="61" spans="1:39" ht="20.25" customHeight="1" x14ac:dyDescent="0.2">
      <c r="A61" s="45" t="s">
        <v>120</v>
      </c>
      <c r="E61" s="48"/>
      <c r="F61" s="48"/>
      <c r="G61" s="48"/>
      <c r="H61" s="48"/>
      <c r="AB61" s="29">
        <f t="shared" si="3"/>
        <v>23</v>
      </c>
      <c r="AC61" s="29">
        <f>INDEX(Model!$D:$D,3+AB61)</f>
        <v>4561.8475653240157</v>
      </c>
      <c r="AD61" s="29">
        <f>MAX(0,AC61*(1-MIN(Inputs!$E$13,1)))</f>
        <v>45.618475653240196</v>
      </c>
      <c r="AE61" s="29">
        <f>AC61-(AD61+($B$65*12-Inputs!$E$14)*POWER(1+$C$65,AB61-1))</f>
        <v>1378.6440508789333</v>
      </c>
      <c r="AF61" s="29">
        <f t="shared" si="4"/>
        <v>14130.638026833842</v>
      </c>
      <c r="AG61" s="29">
        <f>AC61-(AD61+($B$66*12-Inputs!$E$14)*POWER(1+$C$66,AB61-1))</f>
        <v>-1486.1075062788359</v>
      </c>
      <c r="AH61" s="29">
        <f t="shared" si="5"/>
        <v>-32184.158020546001</v>
      </c>
      <c r="AI61" s="29">
        <f>AC61-(AD61+($B$67*12-Inputs!$E$14)*POWER(1+$C$67,AB61-1))</f>
        <v>1522.7785149170581</v>
      </c>
      <c r="AJ61" s="29">
        <f t="shared" si="6"/>
        <v>14108.716631814365</v>
      </c>
      <c r="AK61" s="29" t="b">
        <f t="shared" si="0"/>
        <v>1</v>
      </c>
      <c r="AL61" s="29" t="b">
        <f t="shared" si="1"/>
        <v>0</v>
      </c>
      <c r="AM61" s="29" t="b">
        <f t="shared" si="2"/>
        <v>1</v>
      </c>
    </row>
    <row r="62" spans="1:39" ht="20.25" customHeight="1" x14ac:dyDescent="0.2">
      <c r="A62" s="46" t="s">
        <v>121</v>
      </c>
      <c r="E62" s="48"/>
      <c r="F62" s="48"/>
      <c r="G62" s="48"/>
      <c r="H62" s="48"/>
      <c r="AB62" s="29">
        <f t="shared" si="3"/>
        <v>24</v>
      </c>
      <c r="AC62" s="29">
        <f>INDEX(Model!$D:$D,3+AB62)</f>
        <v>4782.640987485699</v>
      </c>
      <c r="AD62" s="29">
        <f>MAX(0,AC62*(1-MIN(Inputs!$E$13,1)))</f>
        <v>47.826409874857035</v>
      </c>
      <c r="AE62" s="29">
        <f>AC62-(AD62+($B$65*12-Inputs!$E$14)*POWER(1+$C$65,AB62-1))</f>
        <v>1487.4140624612855</v>
      </c>
      <c r="AF62" s="29">
        <f t="shared" si="4"/>
        <v>15618.052089295128</v>
      </c>
      <c r="AG62" s="29">
        <f>AC62-(AD62+($B$66*12-Inputs!$E$14)*POWER(1+$C$66,AB62-1))</f>
        <v>-1477.6037991970052</v>
      </c>
      <c r="AH62" s="29">
        <f t="shared" si="5"/>
        <v>-33661.761819743006</v>
      </c>
      <c r="AI62" s="29">
        <f>AC62-(AD62+($B$67*12-Inputs!$E$14)*POWER(1+$C$67,AB62-1))</f>
        <v>1651.8598306719891</v>
      </c>
      <c r="AJ62" s="29">
        <f t="shared" si="6"/>
        <v>15760.576462486353</v>
      </c>
      <c r="AK62" s="29" t="b">
        <f t="shared" si="0"/>
        <v>1</v>
      </c>
      <c r="AL62" s="29" t="b">
        <f t="shared" si="1"/>
        <v>0</v>
      </c>
      <c r="AM62" s="29" t="b">
        <f t="shared" si="2"/>
        <v>1</v>
      </c>
    </row>
    <row r="63" spans="1:39" ht="20.25" customHeight="1" x14ac:dyDescent="0.2">
      <c r="A63" s="47"/>
      <c r="B63" s="48"/>
      <c r="C63" s="48"/>
      <c r="D63" s="47"/>
      <c r="E63" s="48"/>
      <c r="F63" s="48"/>
      <c r="G63" s="48"/>
      <c r="H63" s="48"/>
      <c r="AB63" s="29">
        <f t="shared" si="3"/>
        <v>25</v>
      </c>
      <c r="AC63" s="29">
        <f>INDEX(Model!$D:$D,3+AB63)</f>
        <v>5014.1208112800059</v>
      </c>
      <c r="AD63" s="29">
        <f>MAX(0,AC63*(1-MIN(Inputs!$E$13,1)))</f>
        <v>50.141208112800101</v>
      </c>
      <c r="AE63" s="29">
        <f>AC63-(AD63+($B$65*12-Inputs!$E$14)*POWER(1+$C$65,AB63-1))</f>
        <v>1602.9200699874154</v>
      </c>
      <c r="AF63" s="29">
        <f t="shared" si="4"/>
        <v>17220.972159282544</v>
      </c>
      <c r="AG63" s="29">
        <f>AC63-(AD63+($B$66*12-Inputs!$E$14)*POWER(1+$C$66,AB63-1))</f>
        <v>-1465.8734168289147</v>
      </c>
      <c r="AH63" s="29">
        <f t="shared" si="5"/>
        <v>-35127.635236571921</v>
      </c>
      <c r="AI63" s="29">
        <f>AC63-(AD63+($B$67*12-Inputs!$E$14)*POWER(1+$C$67,AB63-1))</f>
        <v>1788.8445092948809</v>
      </c>
      <c r="AJ63" s="29">
        <f t="shared" si="6"/>
        <v>17549.420971781234</v>
      </c>
      <c r="AK63" s="29" t="b">
        <f t="shared" si="0"/>
        <v>1</v>
      </c>
      <c r="AL63" s="29" t="b">
        <f t="shared" si="1"/>
        <v>0</v>
      </c>
      <c r="AM63" s="29" t="b">
        <f t="shared" si="2"/>
        <v>1</v>
      </c>
    </row>
    <row r="64" spans="1:39" ht="20.25" customHeight="1" x14ac:dyDescent="0.2">
      <c r="A64" s="49" t="s">
        <v>122</v>
      </c>
      <c r="B64" s="49" t="s">
        <v>106</v>
      </c>
      <c r="C64" s="49" t="s">
        <v>123</v>
      </c>
      <c r="D64" s="49" t="s">
        <v>124</v>
      </c>
      <c r="E64" s="48"/>
      <c r="F64" s="48"/>
      <c r="G64" s="48"/>
      <c r="H64" s="48"/>
    </row>
    <row r="65" spans="1:8" ht="20.25" customHeight="1" x14ac:dyDescent="0.2">
      <c r="A65" s="50" t="s">
        <v>138</v>
      </c>
      <c r="B65" s="51">
        <f>Inputs!$E$10</f>
        <v>156</v>
      </c>
      <c r="C65" s="52">
        <f>Inputs!$E$11</f>
        <v>3.5000000000000003E-2</v>
      </c>
      <c r="D65" s="50" t="s">
        <v>139</v>
      </c>
      <c r="E65" s="48"/>
      <c r="F65" s="48"/>
      <c r="G65" s="48"/>
      <c r="H65" s="48"/>
    </row>
    <row r="66" spans="1:8" ht="20.25" customHeight="1" x14ac:dyDescent="0.2">
      <c r="A66" s="50" t="s">
        <v>140</v>
      </c>
      <c r="B66" s="51">
        <v>268</v>
      </c>
      <c r="C66" s="52">
        <v>3.5000000000000003E-2</v>
      </c>
      <c r="D66" s="50" t="s">
        <v>141</v>
      </c>
      <c r="E66" s="48"/>
      <c r="F66" s="48"/>
      <c r="G66" s="48"/>
      <c r="H66" s="48"/>
    </row>
    <row r="67" spans="1:8" ht="20.25" customHeight="1" x14ac:dyDescent="0.2">
      <c r="A67" s="50" t="s">
        <v>142</v>
      </c>
      <c r="B67" s="51">
        <f>B65*1.05</f>
        <v>163.80000000000001</v>
      </c>
      <c r="C67" s="52">
        <v>2.9899999999999999E-2</v>
      </c>
      <c r="D67" s="50" t="s">
        <v>143</v>
      </c>
      <c r="E67" s="48"/>
      <c r="F67" s="48"/>
      <c r="G67" s="48"/>
      <c r="H67" s="48"/>
    </row>
    <row r="68" spans="1:8" ht="20.25" customHeight="1" x14ac:dyDescent="0.2">
      <c r="A68" s="48"/>
      <c r="B68" s="48"/>
      <c r="C68" s="48"/>
      <c r="D68" s="48"/>
      <c r="E68" s="48"/>
      <c r="F68" s="48"/>
      <c r="G68" s="48"/>
      <c r="H68" s="48"/>
    </row>
    <row r="69" spans="1:8" ht="20.25" customHeight="1" x14ac:dyDescent="0.2">
      <c r="A69" s="44" t="s">
        <v>3</v>
      </c>
      <c r="B69" s="44" t="s">
        <v>144</v>
      </c>
      <c r="C69" s="44" t="s">
        <v>145</v>
      </c>
      <c r="D69" s="44" t="s">
        <v>146</v>
      </c>
      <c r="E69" s="48"/>
      <c r="F69" s="48"/>
      <c r="G69" s="48"/>
      <c r="H69" s="48"/>
    </row>
    <row r="70" spans="1:8" ht="20.25" customHeight="1" x14ac:dyDescent="0.2">
      <c r="A70" s="55">
        <v>5</v>
      </c>
      <c r="B70" s="54">
        <f>INDEX($AF$39:$AF$63,5)</f>
        <v>916.35434034975901</v>
      </c>
      <c r="C70" s="54">
        <f>INDEX($AH$39:$AH$63,5)</f>
        <v>-6290.7997964902388</v>
      </c>
      <c r="D70" s="54">
        <f>INDEX($AJ$39:$AJ$63,5)</f>
        <v>499.58258792050924</v>
      </c>
      <c r="E70" s="48"/>
      <c r="F70" s="48"/>
      <c r="G70" s="48"/>
      <c r="H70" s="48"/>
    </row>
    <row r="71" spans="1:8" ht="20.25" customHeight="1" x14ac:dyDescent="0.2">
      <c r="A71" s="55">
        <v>10</v>
      </c>
      <c r="B71" s="54">
        <f>INDEX($AF$39:$AF$63,10)</f>
        <v>2679.3783797029209</v>
      </c>
      <c r="C71" s="54">
        <f>INDEX($AH$39:$AH$63,10)</f>
        <v>-13087.614028148164</v>
      </c>
      <c r="D71" s="54">
        <f>INDEX($AJ$39:$AJ$63,10)</f>
        <v>2008.4030640044782</v>
      </c>
      <c r="E71" s="48"/>
      <c r="F71" s="48"/>
      <c r="G71" s="48"/>
      <c r="H71" s="48"/>
    </row>
    <row r="72" spans="1:8" ht="20.25" customHeight="1" x14ac:dyDescent="0.2">
      <c r="A72" s="55">
        <v>15</v>
      </c>
      <c r="B72" s="54">
        <f>INDEX($AF$39:$AF$63,15)</f>
        <v>5652.1016707573963</v>
      </c>
      <c r="C72" s="54">
        <f>INDEX($AH$39:$AH$63,15)</f>
        <v>-20281.293430125577</v>
      </c>
      <c r="D72" s="54">
        <f>INDEX($AJ$39:$AJ$63,15)</f>
        <v>4958.2190144677406</v>
      </c>
      <c r="E72" s="48"/>
      <c r="F72" s="48"/>
      <c r="G72" s="48"/>
      <c r="H72" s="48"/>
    </row>
    <row r="73" spans="1:8" ht="20.25" customHeight="1" x14ac:dyDescent="0.2">
      <c r="A73" s="55">
        <v>20</v>
      </c>
      <c r="B73" s="54">
        <f>INDEX($AF$39:$AF$63,20)</f>
        <v>10295.845951248519</v>
      </c>
      <c r="C73" s="54">
        <f>INDEX($AH$39:$AH$63,20)</f>
        <v>-27712.046405839938</v>
      </c>
      <c r="D73" s="54">
        <f>INDEX($AJ$39:$AJ$63,20)</f>
        <v>9898.0448706826974</v>
      </c>
      <c r="E73" s="48"/>
      <c r="F73" s="48"/>
      <c r="G73" s="48"/>
      <c r="H73" s="48"/>
    </row>
    <row r="74" spans="1:8" ht="20.25" customHeight="1" x14ac:dyDescent="0.2">
      <c r="A74" s="55">
        <v>25</v>
      </c>
      <c r="B74" s="54">
        <f>INDEX($AF$39:$AF$63,25)</f>
        <v>17220.972159282544</v>
      </c>
      <c r="C74" s="54">
        <f>INDEX($AH$39:$AH$63,25)</f>
        <v>-35127.635236571921</v>
      </c>
      <c r="D74" s="54">
        <f>INDEX($AJ$39:$AJ$63,25)</f>
        <v>17549.420971781234</v>
      </c>
      <c r="E74" s="48"/>
      <c r="F74" s="48"/>
      <c r="G74" s="48"/>
      <c r="H74" s="48"/>
    </row>
    <row r="75" spans="1:8" ht="20.25" customHeight="1" x14ac:dyDescent="0.2">
      <c r="A75" s="48"/>
      <c r="B75" s="48"/>
      <c r="C75" s="48"/>
      <c r="D75" s="48"/>
      <c r="E75" s="48"/>
      <c r="F75" s="48"/>
      <c r="G75" s="48"/>
      <c r="H75" s="48"/>
    </row>
    <row r="76" spans="1:8" ht="20.25" customHeight="1" x14ac:dyDescent="0.2">
      <c r="A76" s="48"/>
      <c r="B76" s="48"/>
      <c r="C76" s="48"/>
      <c r="D76" s="48"/>
      <c r="E76" s="48"/>
      <c r="F76" s="48"/>
      <c r="G76" s="48"/>
      <c r="H76" s="48"/>
    </row>
  </sheetData>
  <mergeCells count="31">
    <mergeCell ref="A8:E8"/>
    <mergeCell ref="A1:H2"/>
    <mergeCell ref="A3:H3"/>
    <mergeCell ref="A4:B4"/>
    <mergeCell ref="C4:D4"/>
    <mergeCell ref="E4:F4"/>
    <mergeCell ref="G4:H4"/>
    <mergeCell ref="A5:B6"/>
    <mergeCell ref="C5:D6"/>
    <mergeCell ref="E5:F6"/>
    <mergeCell ref="G5:H6"/>
    <mergeCell ref="A7:H7"/>
    <mergeCell ref="F21:H21"/>
    <mergeCell ref="F13:H14"/>
    <mergeCell ref="F15:H15"/>
    <mergeCell ref="A33:C34"/>
    <mergeCell ref="F18:H18"/>
    <mergeCell ref="F9:H9"/>
    <mergeCell ref="F10:H11"/>
    <mergeCell ref="A19:C19"/>
    <mergeCell ref="D10:E10"/>
    <mergeCell ref="F19:H19"/>
    <mergeCell ref="F20:H20"/>
    <mergeCell ref="A29:C29"/>
    <mergeCell ref="A31:C32"/>
    <mergeCell ref="F22:H22"/>
    <mergeCell ref="A24:E24"/>
    <mergeCell ref="F23:H23"/>
    <mergeCell ref="F25:H25"/>
    <mergeCell ref="F26:H26"/>
    <mergeCell ref="A30:C30"/>
  </mergeCells>
  <phoneticPr fontId="66" type="noConversion"/>
  <conditionalFormatting sqref="C29">
    <cfRule type="dataBar" priority="10">
      <dataBar>
        <cfvo type="num" val="0"/>
        <cfvo type="num" val="100"/>
        <color rgb="FF22C55E"/>
      </dataBar>
    </cfRule>
  </conditionalFormatting>
  <conditionalFormatting sqref="A31:C3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1:O36">
    <cfRule type="colorScale" priority="3">
      <colorScale>
        <cfvo type="min"/>
        <cfvo type="max"/>
        <color rgb="FFFCFCFF"/>
        <color rgb="FF63BE7B"/>
      </colorScale>
    </cfRule>
  </conditionalFormatting>
  <conditionalFormatting sqref="M11:M36">
    <cfRule type="colorScale" priority="2">
      <colorScale>
        <cfvo type="num" val="-1000"/>
        <cfvo type="max"/>
        <color rgb="FFFCFCFF"/>
        <color rgb="FF00B050"/>
      </colorScale>
    </cfRule>
  </conditionalFormatting>
  <conditionalFormatting sqref="N11:N36">
    <cfRule type="colorScale" priority="1">
      <colorScale>
        <cfvo type="num" val="-1000"/>
        <cfvo type="max"/>
        <color rgb="FFFCFCFF"/>
        <color rgb="FF00B050"/>
      </colorScale>
    </cfRule>
  </conditionalFormatting>
  <pageMargins left="0.25" right="0.25" top="0.35" bottom="0.35" header="0.5" footer="0.5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Z1000"/>
  <sheetViews>
    <sheetView workbookViewId="0">
      <selection activeCell="D14" sqref="D14"/>
    </sheetView>
  </sheetViews>
  <sheetFormatPr defaultColWidth="12.625" defaultRowHeight="15" customHeight="1" x14ac:dyDescent="0.2"/>
  <cols>
    <col min="1" max="1" width="29.75" customWidth="1"/>
    <col min="2" max="2" width="15.75" customWidth="1"/>
    <col min="3" max="3" width="14" customWidth="1"/>
    <col min="4" max="4" width="15.75" customWidth="1"/>
    <col min="5" max="5" width="14" customWidth="1"/>
    <col min="6" max="6" width="1.375" customWidth="1"/>
    <col min="7" max="7" width="19" customWidth="1"/>
    <col min="8" max="8" width="9.125" customWidth="1"/>
    <col min="9" max="9" width="15.5" customWidth="1"/>
    <col min="10" max="10" width="19.5" customWidth="1"/>
  </cols>
  <sheetData>
    <row r="1" spans="1:26" ht="21" x14ac:dyDescent="0.35">
      <c r="A1" s="86" t="s">
        <v>6</v>
      </c>
      <c r="B1" s="85"/>
      <c r="C1" s="85"/>
      <c r="D1" s="85"/>
      <c r="E1" s="8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 x14ac:dyDescent="0.3">
      <c r="A2" s="127" t="s">
        <v>154</v>
      </c>
      <c r="B2" s="148" t="s">
        <v>153</v>
      </c>
      <c r="C2" s="148"/>
      <c r="D2" s="148"/>
      <c r="E2" s="12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.75" thickTop="1" thickBot="1" x14ac:dyDescent="0.35">
      <c r="A3" s="147"/>
      <c r="B3" s="1"/>
      <c r="C3" s="1"/>
      <c r="D3" s="1"/>
      <c r="E3" s="1"/>
      <c r="F3" s="1"/>
      <c r="G3" s="87" t="s">
        <v>152</v>
      </c>
      <c r="H3" s="87"/>
      <c r="I3" s="87"/>
      <c r="J3" s="8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 thickTop="1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25">
      <c r="A5" s="123" t="s">
        <v>12</v>
      </c>
      <c r="B5" s="123"/>
      <c r="C5" s="138" t="s">
        <v>99</v>
      </c>
      <c r="D5" s="145"/>
      <c r="E5" s="146"/>
      <c r="F5" s="1"/>
      <c r="G5" s="118" t="s">
        <v>13</v>
      </c>
      <c r="H5" s="11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customHeight="1" thickBot="1" x14ac:dyDescent="0.3">
      <c r="A6" s="124" t="s">
        <v>14</v>
      </c>
      <c r="B6" s="124" t="s">
        <v>15</v>
      </c>
      <c r="C6" s="139">
        <f>IF(B6="","",IFERROR(VLOOKUP(B6,Presets!$A$5:$B$12,2,FALSE),""))</f>
        <v>0.35933014354066983</v>
      </c>
      <c r="D6" s="149"/>
      <c r="E6" s="132">
        <f>IF(D6&lt;&gt;"",D6,IF(B6="Customer",C6,C6))</f>
        <v>0.35933014354066983</v>
      </c>
      <c r="F6" s="1"/>
      <c r="G6" s="120" t="s">
        <v>155</v>
      </c>
      <c r="H6" s="28">
        <v>418</v>
      </c>
      <c r="J6" s="121" t="s">
        <v>96</v>
      </c>
      <c r="K6" s="128">
        <f>SUM(H14:H25)</f>
        <v>4488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.75" customHeight="1" thickTop="1" thickBot="1" x14ac:dyDescent="0.3">
      <c r="A7" s="124" t="s">
        <v>16</v>
      </c>
      <c r="B7" s="124"/>
      <c r="C7" s="140">
        <f>K10</f>
        <v>374</v>
      </c>
      <c r="D7" s="150"/>
      <c r="E7" s="133">
        <f>IF(D7&lt;&gt;"",D7,IF(B7="Customer",C7,C7))</f>
        <v>374</v>
      </c>
      <c r="F7" s="1"/>
      <c r="G7" s="120" t="s">
        <v>17</v>
      </c>
      <c r="H7" s="119">
        <v>160.19999999999999</v>
      </c>
      <c r="J7" s="121" t="s">
        <v>95</v>
      </c>
      <c r="K7" s="129">
        <f>(H7-10)/H6</f>
        <v>0.35933014354066983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.75" customHeight="1" thickTop="1" thickBot="1" x14ac:dyDescent="0.3">
      <c r="A8" s="124" t="s">
        <v>18</v>
      </c>
      <c r="B8" s="124" t="s">
        <v>70</v>
      </c>
      <c r="C8" s="141">
        <f>IF(B8="","",IFERROR(VLOOKUP(B8,Presets!$A$16:$B$22,2,FALSE),""))</f>
        <v>4.8399999999999999E-2</v>
      </c>
      <c r="D8" s="151"/>
      <c r="E8" s="134">
        <f>IF(D8&lt;&gt;"",D8,IF(B8="Customer","",C8))</f>
        <v>4.8399999999999999E-2</v>
      </c>
      <c r="F8" s="1"/>
      <c r="G8" s="120"/>
      <c r="H8" s="28"/>
      <c r="J8" s="121" t="s">
        <v>94</v>
      </c>
      <c r="K8" s="130">
        <f>K9/12</f>
        <v>144.38947368421051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 thickTop="1" thickBot="1" x14ac:dyDescent="0.3">
      <c r="A9" s="124" t="s">
        <v>19</v>
      </c>
      <c r="B9" s="124" t="s">
        <v>20</v>
      </c>
      <c r="C9" s="141">
        <f>IF(B9="","",IFERROR(VLOOKUP(B9,Presets!$A$28:$B$33,2,FALSE),""))</f>
        <v>2.86E-2</v>
      </c>
      <c r="D9" s="151"/>
      <c r="E9" s="134">
        <f>IF(D9&lt;&gt;"",D9,IF(B9="Customer","",C9))</f>
        <v>2.86E-2</v>
      </c>
      <c r="F9" s="1"/>
      <c r="G9" s="120"/>
      <c r="H9" s="28"/>
      <c r="J9" s="121" t="s">
        <v>93</v>
      </c>
      <c r="K9" s="130">
        <f>SUM(I14:I25)</f>
        <v>1732.6736842105263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75" customHeight="1" thickTop="1" thickBot="1" x14ac:dyDescent="0.3">
      <c r="A10" s="124" t="s">
        <v>21</v>
      </c>
      <c r="B10" s="124"/>
      <c r="C10" s="142"/>
      <c r="D10" s="152">
        <v>156</v>
      </c>
      <c r="E10" s="156">
        <f>IF(D10&lt;&gt;"",D10,IF(B10="Customer","",C10))</f>
        <v>156</v>
      </c>
      <c r="F10" s="1"/>
      <c r="G10" s="120"/>
      <c r="H10" s="28"/>
      <c r="J10" s="121" t="s">
        <v>97</v>
      </c>
      <c r="K10" s="128">
        <f>SUM(H14:H25)/12</f>
        <v>374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 thickTop="1" thickBot="1" x14ac:dyDescent="0.3">
      <c r="A11" s="124" t="s">
        <v>22</v>
      </c>
      <c r="B11" s="125">
        <v>3.5000000000000003E-2</v>
      </c>
      <c r="C11" s="141"/>
      <c r="D11" s="151">
        <v>3.5000000000000003E-2</v>
      </c>
      <c r="E11" s="134">
        <f>IF(D11&lt;&gt;"",D11,IF(B11="Customer","",C11))</f>
        <v>3.5000000000000003E-2</v>
      </c>
      <c r="G11" s="120"/>
      <c r="H11" s="2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 thickTop="1" thickBot="1" x14ac:dyDescent="0.3">
      <c r="A12" s="124" t="s">
        <v>26</v>
      </c>
      <c r="B12" s="124"/>
      <c r="C12" s="142">
        <v>25</v>
      </c>
      <c r="D12" s="153">
        <v>25</v>
      </c>
      <c r="E12" s="135">
        <f>D12</f>
        <v>25</v>
      </c>
      <c r="G12" s="120"/>
      <c r="H12" s="2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thickTop="1" thickBot="1" x14ac:dyDescent="0.3">
      <c r="A13" s="124" t="s">
        <v>28</v>
      </c>
      <c r="B13" s="124"/>
      <c r="C13" s="143"/>
      <c r="D13" s="154">
        <v>0.99</v>
      </c>
      <c r="E13" s="136">
        <f>D13</f>
        <v>0.99</v>
      </c>
      <c r="G13" s="120" t="s">
        <v>24</v>
      </c>
      <c r="H13" s="28" t="s">
        <v>25</v>
      </c>
      <c r="I13" s="122" t="s">
        <v>98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thickTop="1" thickBot="1" x14ac:dyDescent="0.3">
      <c r="A14" s="124" t="s">
        <v>30</v>
      </c>
      <c r="B14" s="124"/>
      <c r="C14" s="144">
        <v>0</v>
      </c>
      <c r="D14" s="155">
        <v>400</v>
      </c>
      <c r="E14" s="137">
        <f>IF(D14&lt;&gt;"",D14,C14)</f>
        <v>400</v>
      </c>
      <c r="G14" s="120" t="s">
        <v>27</v>
      </c>
      <c r="H14" s="28">
        <v>418</v>
      </c>
      <c r="I14" s="131">
        <f>H14*K7+10</f>
        <v>160.19999999999999</v>
      </c>
      <c r="K14" s="15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thickTop="1" thickBot="1" x14ac:dyDescent="0.3">
      <c r="A15" s="124"/>
      <c r="B15" s="124"/>
      <c r="C15" s="139"/>
      <c r="D15" s="149"/>
      <c r="E15" s="132"/>
      <c r="G15" s="120" t="s">
        <v>29</v>
      </c>
      <c r="H15" s="28">
        <v>346</v>
      </c>
      <c r="I15" s="131">
        <f>H15*K7+10</f>
        <v>134.32822966507177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Top="1" x14ac:dyDescent="0.25">
      <c r="A16" s="1"/>
      <c r="B16" s="1"/>
      <c r="C16" s="1"/>
      <c r="D16" s="1"/>
      <c r="E16" s="27"/>
      <c r="G16" s="120" t="s">
        <v>31</v>
      </c>
      <c r="H16" s="28">
        <v>340</v>
      </c>
      <c r="I16" s="131">
        <f>H16*K7+10</f>
        <v>132.17224880382776</v>
      </c>
      <c r="K16" s="15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G17" s="120" t="s">
        <v>32</v>
      </c>
      <c r="H17" s="28">
        <v>322</v>
      </c>
      <c r="I17" s="131">
        <f>H17*K7+10</f>
        <v>125.70430622009569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C18" s="3"/>
      <c r="G18" s="120" t="s">
        <v>33</v>
      </c>
      <c r="H18" s="28">
        <v>363</v>
      </c>
      <c r="I18" s="131">
        <f>K7*H18+10</f>
        <v>140.43684210526314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G19" s="120" t="s">
        <v>34</v>
      </c>
      <c r="H19" s="28">
        <v>317</v>
      </c>
      <c r="I19" s="131">
        <f>K7*H19+10</f>
        <v>123.90765550239233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G20" s="120" t="s">
        <v>35</v>
      </c>
      <c r="H20" s="28">
        <v>384</v>
      </c>
      <c r="I20" s="131">
        <f>K7*H20+10</f>
        <v>147.9827751196172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G21" s="120" t="s">
        <v>36</v>
      </c>
      <c r="H21" s="28">
        <v>516</v>
      </c>
      <c r="I21" s="131">
        <f>K7*H21+10</f>
        <v>195.41435406698562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G22" s="120" t="s">
        <v>37</v>
      </c>
      <c r="H22" s="28">
        <v>466</v>
      </c>
      <c r="I22" s="131">
        <f>K7*H22+10</f>
        <v>177.44784688995213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G23" s="120" t="s">
        <v>38</v>
      </c>
      <c r="H23" s="28">
        <v>388</v>
      </c>
      <c r="I23" s="131">
        <f>K7*H23+10</f>
        <v>149.4200956937799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G24" s="120" t="s">
        <v>39</v>
      </c>
      <c r="H24" s="28">
        <v>306</v>
      </c>
      <c r="I24" s="131">
        <f>K7*H24+10</f>
        <v>119.95502392344497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G25" s="120" t="s">
        <v>40</v>
      </c>
      <c r="H25" s="28">
        <v>322</v>
      </c>
      <c r="I25" s="131">
        <f>K7*H25+10</f>
        <v>125.70430622009569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J27" s="1"/>
      <c r="K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J28" s="1"/>
      <c r="K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J29" s="1"/>
      <c r="K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 t="s">
        <v>167</v>
      </c>
      <c r="D30" s="1" t="s">
        <v>166</v>
      </c>
      <c r="E30" s="1" t="s">
        <v>167</v>
      </c>
      <c r="F30" s="1"/>
      <c r="G30" s="1" t="s">
        <v>166</v>
      </c>
      <c r="J30" s="1"/>
      <c r="K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2">
        <v>3.5000000000000003E-2</v>
      </c>
      <c r="D31" s="12">
        <v>3.5000000000000003E-2</v>
      </c>
      <c r="E31" s="1">
        <v>2.99</v>
      </c>
      <c r="F31" s="1"/>
      <c r="G31" s="1">
        <v>2.99</v>
      </c>
      <c r="H31" s="1"/>
      <c r="I31" s="1"/>
      <c r="J31" s="1"/>
      <c r="K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>
        <v>0.32</v>
      </c>
      <c r="C32" s="1"/>
      <c r="D32" s="1">
        <v>268</v>
      </c>
      <c r="E32" s="1"/>
      <c r="F32" s="1"/>
      <c r="G32" s="1"/>
      <c r="H32" s="1"/>
      <c r="I32" s="1"/>
      <c r="J32" s="1"/>
      <c r="K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>
        <v>0.29499999999999998</v>
      </c>
      <c r="C33" s="1"/>
      <c r="D33" s="1">
        <v>251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>
        <v>0.28000000000000003</v>
      </c>
      <c r="C34" s="1"/>
      <c r="D34" s="1">
        <v>242</v>
      </c>
      <c r="E34" s="1"/>
      <c r="F34" s="1"/>
      <c r="G34" s="1">
        <v>247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>
        <v>0.27</v>
      </c>
      <c r="C35" s="1"/>
      <c r="D35" s="1">
        <v>235</v>
      </c>
      <c r="E35" s="1"/>
      <c r="F35" s="1"/>
      <c r="G35" s="1">
        <v>240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</row>
    <row r="222" spans="1:26" ht="15.75" customHeight="1" x14ac:dyDescent="0.25">
      <c r="A222" s="1"/>
      <c r="B222" s="1"/>
      <c r="C222" s="1"/>
      <c r="D222" s="1"/>
      <c r="E222" s="1"/>
      <c r="F222" s="1"/>
    </row>
    <row r="223" spans="1:26" ht="15.75" customHeight="1" x14ac:dyDescent="0.25">
      <c r="A223" s="1"/>
      <c r="B223" s="1"/>
      <c r="C223" s="1"/>
      <c r="D223" s="1"/>
      <c r="E223" s="1"/>
      <c r="F223" s="1"/>
    </row>
    <row r="224" spans="1:26" ht="15.75" customHeight="1" x14ac:dyDescent="0.25">
      <c r="A224" s="1"/>
      <c r="B224" s="1"/>
      <c r="C224" s="1"/>
      <c r="D224" s="1"/>
      <c r="E224" s="1"/>
      <c r="F224" s="1"/>
    </row>
    <row r="225" spans="1:6" ht="15.75" customHeight="1" x14ac:dyDescent="0.25">
      <c r="A225" s="1"/>
      <c r="B225" s="1"/>
      <c r="C225" s="1"/>
      <c r="D225" s="1"/>
      <c r="E225" s="1"/>
      <c r="F225" s="1"/>
    </row>
    <row r="226" spans="1:6" ht="15.75" customHeight="1" x14ac:dyDescent="0.25">
      <c r="A226" s="1"/>
      <c r="B226" s="1"/>
      <c r="C226" s="1"/>
      <c r="D226" s="1"/>
      <c r="E226" s="1"/>
      <c r="F226" s="1"/>
    </row>
    <row r="227" spans="1:6" ht="15.75" customHeight="1" x14ac:dyDescent="0.25">
      <c r="A227" s="1"/>
      <c r="B227" s="1"/>
      <c r="C227" s="1"/>
      <c r="D227" s="1"/>
      <c r="E227" s="1"/>
      <c r="F227" s="1"/>
    </row>
    <row r="228" spans="1:6" ht="15.75" customHeight="1" x14ac:dyDescent="0.25">
      <c r="A228" s="1"/>
      <c r="B228" s="1"/>
      <c r="C228" s="1"/>
      <c r="D228" s="1"/>
      <c r="E228" s="1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"/>
      <c r="F230" s="1"/>
    </row>
    <row r="231" spans="1:6" ht="15.75" customHeight="1" x14ac:dyDescent="0.25">
      <c r="A231" s="1"/>
      <c r="B231" s="1"/>
      <c r="C231" s="1"/>
      <c r="D231" s="1"/>
      <c r="E231" s="1"/>
      <c r="F231" s="1"/>
    </row>
    <row r="232" spans="1:6" ht="15.75" customHeight="1" x14ac:dyDescent="0.25">
      <c r="A232" s="1"/>
      <c r="B232" s="1"/>
      <c r="C232" s="1"/>
      <c r="D232" s="1"/>
      <c r="E232" s="1"/>
      <c r="F232" s="1"/>
    </row>
    <row r="233" spans="1:6" ht="15.75" customHeight="1" x14ac:dyDescent="0.25">
      <c r="A233" s="1"/>
      <c r="B233" s="1"/>
      <c r="C233" s="1"/>
      <c r="D233" s="1"/>
      <c r="E233" s="1"/>
      <c r="F233" s="1"/>
    </row>
    <row r="234" spans="1:6" ht="15.75" customHeight="1" x14ac:dyDescent="0.25">
      <c r="A234" s="1"/>
      <c r="B234" s="1"/>
      <c r="C234" s="1"/>
      <c r="D234" s="1"/>
      <c r="E234" s="1"/>
      <c r="F234" s="1"/>
    </row>
    <row r="235" spans="1:6" ht="15.75" customHeight="1" x14ac:dyDescent="0.25">
      <c r="A235" s="1"/>
      <c r="B235" s="1"/>
      <c r="C235" s="1"/>
      <c r="D235" s="1"/>
      <c r="E235" s="1"/>
      <c r="F235" s="1"/>
    </row>
    <row r="236" spans="1:6" ht="15.75" customHeight="1" x14ac:dyDescent="0.25">
      <c r="A236" s="1"/>
      <c r="B236" s="1"/>
      <c r="C236" s="1"/>
      <c r="D236" s="1"/>
      <c r="E236" s="1"/>
      <c r="F236" s="1"/>
    </row>
    <row r="237" spans="1:6" ht="15.75" customHeight="1" x14ac:dyDescent="0.25">
      <c r="A237" s="1"/>
      <c r="B237" s="1"/>
      <c r="C237" s="1"/>
      <c r="D237" s="1"/>
      <c r="E237" s="1"/>
      <c r="F237" s="1"/>
    </row>
    <row r="238" spans="1:6" ht="15.75" customHeight="1" x14ac:dyDescent="0.25">
      <c r="A238" s="1"/>
      <c r="B238" s="1"/>
      <c r="C238" s="1"/>
      <c r="D238" s="1"/>
      <c r="E238" s="1"/>
      <c r="F238" s="1"/>
    </row>
    <row r="239" spans="1:6" ht="15.75" customHeight="1" x14ac:dyDescent="0.25">
      <c r="A239" s="1"/>
      <c r="B239" s="1"/>
      <c r="C239" s="1"/>
      <c r="D239" s="1"/>
      <c r="E239" s="1"/>
      <c r="F239" s="1"/>
    </row>
    <row r="240" spans="1:6" ht="15.75" customHeight="1" x14ac:dyDescent="0.25">
      <c r="A240" s="1"/>
      <c r="B240" s="1"/>
      <c r="C240" s="1"/>
      <c r="D240" s="1"/>
      <c r="E240" s="1"/>
      <c r="F240" s="1"/>
    </row>
    <row r="241" spans="1:6" ht="15.75" customHeight="1" x14ac:dyDescent="0.25">
      <c r="A241" s="1"/>
      <c r="B241" s="1"/>
      <c r="C241" s="1"/>
      <c r="D241" s="1"/>
      <c r="E241" s="1"/>
      <c r="F241" s="1"/>
    </row>
    <row r="242" spans="1:6" ht="15.75" customHeight="1" x14ac:dyDescent="0.25">
      <c r="A242" s="1"/>
      <c r="B242" s="1"/>
      <c r="C242" s="1"/>
      <c r="D242" s="1"/>
      <c r="E242" s="1"/>
      <c r="F242" s="1"/>
    </row>
    <row r="243" spans="1:6" ht="15.75" customHeight="1" x14ac:dyDescent="0.25">
      <c r="A243" s="1"/>
      <c r="B243" s="1"/>
      <c r="C243" s="1"/>
      <c r="D243" s="1"/>
      <c r="E243" s="1"/>
      <c r="F243" s="1"/>
    </row>
    <row r="244" spans="1:6" ht="15.75" customHeight="1" x14ac:dyDescent="0.25">
      <c r="A244" s="1"/>
      <c r="B244" s="1"/>
      <c r="C244" s="1"/>
      <c r="D244" s="1"/>
      <c r="E244" s="1"/>
      <c r="F244" s="1"/>
    </row>
    <row r="245" spans="1:6" ht="15.75" customHeight="1" x14ac:dyDescent="0.25">
      <c r="A245" s="1"/>
      <c r="B245" s="1"/>
      <c r="C245" s="1"/>
      <c r="D245" s="1"/>
      <c r="E245" s="1"/>
      <c r="F245" s="1"/>
    </row>
    <row r="246" spans="1:6" ht="15.75" customHeight="1" x14ac:dyDescent="0.25">
      <c r="A246" s="1"/>
      <c r="B246" s="1"/>
      <c r="C246" s="1"/>
      <c r="D246" s="1"/>
      <c r="E246" s="1"/>
      <c r="F246" s="1"/>
    </row>
    <row r="247" spans="1:6" ht="15.75" customHeight="1" x14ac:dyDescent="0.25">
      <c r="A247" s="1"/>
      <c r="B247" s="1"/>
      <c r="C247" s="1"/>
      <c r="D247" s="1"/>
      <c r="E247" s="1"/>
      <c r="F247" s="1"/>
    </row>
    <row r="248" spans="1:6" ht="15.75" customHeight="1" x14ac:dyDescent="0.25">
      <c r="A248" s="1"/>
      <c r="B248" s="1"/>
      <c r="C248" s="1"/>
      <c r="D248" s="1"/>
      <c r="E248" s="1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"/>
      <c r="F250" s="1"/>
    </row>
    <row r="251" spans="1:6" ht="15.75" customHeight="1" x14ac:dyDescent="0.25">
      <c r="A251" s="1"/>
      <c r="B251" s="1"/>
      <c r="C251" s="1"/>
      <c r="D251" s="1"/>
      <c r="E251" s="1"/>
      <c r="F251" s="1"/>
    </row>
    <row r="252" spans="1:6" ht="15.75" customHeight="1" x14ac:dyDescent="0.25">
      <c r="A252" s="1"/>
      <c r="B252" s="1"/>
      <c r="C252" s="1"/>
      <c r="D252" s="1"/>
      <c r="E252" s="1"/>
      <c r="F252" s="1"/>
    </row>
    <row r="253" spans="1:6" ht="15.75" customHeight="1" x14ac:dyDescent="0.25">
      <c r="A253" s="1"/>
      <c r="B253" s="1"/>
      <c r="C253" s="1"/>
      <c r="D253" s="1"/>
      <c r="E253" s="1"/>
      <c r="F253" s="1"/>
    </row>
    <row r="254" spans="1:6" ht="15.75" customHeight="1" x14ac:dyDescent="0.25">
      <c r="A254" s="1"/>
      <c r="B254" s="1"/>
      <c r="C254" s="1"/>
      <c r="D254" s="1"/>
      <c r="E254" s="1"/>
      <c r="F254" s="1"/>
    </row>
    <row r="255" spans="1:6" ht="15.75" customHeight="1" x14ac:dyDescent="0.25">
      <c r="A255" s="1"/>
      <c r="B255" s="1"/>
      <c r="C255" s="1"/>
      <c r="D255" s="1"/>
      <c r="E255" s="1"/>
      <c r="F255" s="1"/>
    </row>
    <row r="256" spans="1:6" ht="15.75" customHeight="1" x14ac:dyDescent="0.25">
      <c r="A256" s="1"/>
      <c r="B256" s="1"/>
      <c r="C256" s="1"/>
      <c r="D256" s="1"/>
      <c r="E256" s="1"/>
      <c r="F256" s="1"/>
    </row>
    <row r="257" spans="1:6" ht="15.75" customHeight="1" x14ac:dyDescent="0.25">
      <c r="A257" s="1"/>
      <c r="B257" s="1"/>
      <c r="C257" s="1"/>
      <c r="D257" s="1"/>
      <c r="E257" s="1"/>
      <c r="F257" s="1"/>
    </row>
    <row r="258" spans="1:6" ht="15.75" customHeight="1" x14ac:dyDescent="0.25">
      <c r="A258" s="1"/>
      <c r="B258" s="1"/>
      <c r="C258" s="1"/>
      <c r="D258" s="1"/>
      <c r="E258" s="1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"/>
      <c r="F260" s="1"/>
    </row>
    <row r="261" spans="1:6" ht="15.75" customHeight="1" x14ac:dyDescent="0.25">
      <c r="A261" s="1"/>
      <c r="B261" s="1"/>
      <c r="C261" s="1"/>
      <c r="D261" s="1"/>
      <c r="E261" s="1"/>
      <c r="F261" s="1"/>
    </row>
    <row r="262" spans="1:6" ht="15.75" customHeight="1" x14ac:dyDescent="0.25">
      <c r="A262" s="1"/>
      <c r="B262" s="1"/>
      <c r="C262" s="1"/>
      <c r="D262" s="1"/>
      <c r="E262" s="1"/>
      <c r="F262" s="1"/>
    </row>
    <row r="263" spans="1:6" ht="15.75" customHeight="1" x14ac:dyDescent="0.25">
      <c r="A263" s="1"/>
      <c r="B263" s="1"/>
      <c r="C263" s="1"/>
      <c r="D263" s="1"/>
      <c r="E263" s="1"/>
      <c r="F263" s="1"/>
    </row>
    <row r="264" spans="1:6" ht="15.75" customHeight="1" x14ac:dyDescent="0.25">
      <c r="A264" s="1"/>
      <c r="B264" s="1"/>
      <c r="C264" s="1"/>
      <c r="D264" s="1"/>
      <c r="E264" s="1"/>
      <c r="F264" s="1"/>
    </row>
    <row r="265" spans="1:6" ht="15.75" customHeight="1" x14ac:dyDescent="0.25">
      <c r="A265" s="1"/>
      <c r="B265" s="1"/>
      <c r="C265" s="1"/>
      <c r="D265" s="1"/>
      <c r="E265" s="1"/>
      <c r="F265" s="1"/>
    </row>
    <row r="266" spans="1:6" ht="15.75" customHeight="1" x14ac:dyDescent="0.25">
      <c r="A266" s="1"/>
      <c r="B266" s="1"/>
      <c r="C266" s="1"/>
      <c r="D266" s="1"/>
      <c r="E266" s="1"/>
      <c r="F266" s="1"/>
    </row>
    <row r="267" spans="1:6" ht="15.75" customHeight="1" x14ac:dyDescent="0.25">
      <c r="A267" s="1"/>
      <c r="B267" s="1"/>
      <c r="C267" s="1"/>
      <c r="D267" s="1"/>
      <c r="E267" s="1"/>
      <c r="F267" s="1"/>
    </row>
    <row r="268" spans="1:6" ht="15.75" customHeight="1" x14ac:dyDescent="0.25">
      <c r="A268" s="1"/>
      <c r="B268" s="1"/>
      <c r="C268" s="1"/>
      <c r="D268" s="1"/>
      <c r="E268" s="1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"/>
      <c r="F270" s="1"/>
    </row>
    <row r="271" spans="1:6" ht="15.75" customHeight="1" x14ac:dyDescent="0.25">
      <c r="A271" s="1"/>
      <c r="B271" s="1"/>
      <c r="C271" s="1"/>
      <c r="D271" s="1"/>
      <c r="E271" s="1"/>
      <c r="F271" s="1"/>
    </row>
    <row r="272" spans="1:6" ht="15.75" customHeight="1" x14ac:dyDescent="0.25">
      <c r="A272" s="1"/>
      <c r="B272" s="1"/>
      <c r="C272" s="1"/>
      <c r="D272" s="1"/>
      <c r="E272" s="1"/>
      <c r="F272" s="1"/>
    </row>
    <row r="273" spans="1:6" ht="15.75" customHeight="1" x14ac:dyDescent="0.25">
      <c r="A273" s="1"/>
      <c r="B273" s="1"/>
      <c r="C273" s="1"/>
      <c r="D273" s="1"/>
      <c r="E273" s="1"/>
      <c r="F273" s="1"/>
    </row>
    <row r="274" spans="1:6" ht="15.75" customHeight="1" x14ac:dyDescent="0.25">
      <c r="A274" s="1"/>
      <c r="B274" s="1"/>
      <c r="C274" s="1"/>
      <c r="D274" s="1"/>
      <c r="E274" s="1"/>
      <c r="F274" s="1"/>
    </row>
    <row r="275" spans="1:6" ht="15.75" customHeight="1" x14ac:dyDescent="0.25">
      <c r="A275" s="1"/>
      <c r="B275" s="1"/>
      <c r="C275" s="1"/>
      <c r="D275" s="1"/>
      <c r="E275" s="1"/>
      <c r="F275" s="1"/>
    </row>
    <row r="276" spans="1:6" ht="15.75" customHeight="1" x14ac:dyDescent="0.25">
      <c r="A276" s="1"/>
      <c r="B276" s="1"/>
      <c r="C276" s="1"/>
      <c r="D276" s="1"/>
      <c r="E276" s="1"/>
      <c r="F276" s="1"/>
    </row>
    <row r="277" spans="1:6" ht="15.75" customHeight="1" x14ac:dyDescent="0.25">
      <c r="A277" s="1"/>
      <c r="B277" s="1"/>
      <c r="C277" s="1"/>
      <c r="D277" s="1"/>
      <c r="E277" s="1"/>
      <c r="F277" s="1"/>
    </row>
    <row r="278" spans="1:6" ht="15.75" customHeight="1" x14ac:dyDescent="0.25">
      <c r="A278" s="1"/>
      <c r="B278" s="1"/>
      <c r="C278" s="1"/>
      <c r="D278" s="1"/>
      <c r="E278" s="1"/>
      <c r="F278" s="1"/>
    </row>
    <row r="279" spans="1:6" ht="15.75" customHeight="1" x14ac:dyDescent="0.25">
      <c r="A279" s="1"/>
      <c r="B279" s="1"/>
      <c r="C279" s="1"/>
      <c r="D279" s="1"/>
      <c r="E279" s="1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1"/>
      <c r="F281" s="1"/>
    </row>
    <row r="282" spans="1:6" ht="15.75" customHeight="1" x14ac:dyDescent="0.25">
      <c r="A282" s="1"/>
      <c r="B282" s="1"/>
      <c r="C282" s="1"/>
      <c r="D282" s="1"/>
      <c r="E282" s="1"/>
      <c r="F282" s="1"/>
    </row>
    <row r="283" spans="1:6" ht="15.75" customHeight="1" x14ac:dyDescent="0.25">
      <c r="A283" s="1"/>
      <c r="B283" s="1"/>
      <c r="C283" s="1"/>
      <c r="D283" s="1"/>
      <c r="E283" s="1"/>
      <c r="F283" s="1"/>
    </row>
    <row r="284" spans="1:6" ht="15.75" customHeight="1" x14ac:dyDescent="0.25">
      <c r="A284" s="1"/>
      <c r="B284" s="1"/>
      <c r="C284" s="1"/>
      <c r="D284" s="1"/>
      <c r="E284" s="1"/>
      <c r="F284" s="1"/>
    </row>
    <row r="285" spans="1:6" ht="15.75" customHeight="1" x14ac:dyDescent="0.25">
      <c r="A285" s="1"/>
      <c r="B285" s="1"/>
      <c r="C285" s="1"/>
      <c r="D285" s="1"/>
      <c r="E285" s="1"/>
      <c r="F285" s="1"/>
    </row>
    <row r="286" spans="1:6" ht="15.75" customHeight="1" x14ac:dyDescent="0.25">
      <c r="A286" s="1"/>
      <c r="B286" s="1"/>
      <c r="C286" s="1"/>
      <c r="D286" s="1"/>
      <c r="E286" s="1"/>
      <c r="F286" s="1"/>
    </row>
    <row r="287" spans="1:6" ht="15.75" customHeight="1" x14ac:dyDescent="0.25">
      <c r="A287" s="1"/>
      <c r="B287" s="1"/>
      <c r="C287" s="1"/>
      <c r="D287" s="1"/>
      <c r="E287" s="1"/>
      <c r="F287" s="1"/>
    </row>
    <row r="288" spans="1:6" ht="15.75" customHeight="1" x14ac:dyDescent="0.25">
      <c r="A288" s="1"/>
      <c r="B288" s="1"/>
      <c r="C288" s="1"/>
      <c r="D288" s="1"/>
      <c r="E288" s="1"/>
      <c r="F288" s="1"/>
    </row>
    <row r="289" spans="1:6" ht="15.75" customHeight="1" x14ac:dyDescent="0.25">
      <c r="A289" s="1"/>
      <c r="B289" s="1"/>
      <c r="C289" s="1"/>
      <c r="D289" s="1"/>
      <c r="E289" s="1"/>
      <c r="F289" s="1"/>
    </row>
    <row r="290" spans="1:6" ht="15.75" customHeight="1" x14ac:dyDescent="0.25">
      <c r="A290" s="1"/>
      <c r="B290" s="1"/>
      <c r="C290" s="1"/>
      <c r="D290" s="1"/>
      <c r="E290" s="1"/>
      <c r="F290" s="1"/>
    </row>
    <row r="291" spans="1:6" ht="15.75" customHeight="1" x14ac:dyDescent="0.25">
      <c r="A291" s="1"/>
      <c r="B291" s="1"/>
      <c r="C291" s="1"/>
      <c r="D291" s="1"/>
      <c r="E291" s="1"/>
      <c r="F291" s="1"/>
    </row>
    <row r="292" spans="1:6" ht="15.75" customHeight="1" x14ac:dyDescent="0.25">
      <c r="A292" s="1"/>
      <c r="B292" s="1"/>
      <c r="C292" s="1"/>
      <c r="D292" s="1"/>
      <c r="E292" s="1"/>
      <c r="F292" s="1"/>
    </row>
    <row r="293" spans="1:6" ht="15.75" customHeight="1" x14ac:dyDescent="0.25">
      <c r="A293" s="1"/>
      <c r="B293" s="1"/>
      <c r="C293" s="1"/>
      <c r="D293" s="1"/>
      <c r="E293" s="1"/>
      <c r="F293" s="1"/>
    </row>
    <row r="294" spans="1:6" ht="15.75" customHeight="1" x14ac:dyDescent="0.25">
      <c r="A294" s="1"/>
      <c r="B294" s="1"/>
      <c r="C294" s="1"/>
      <c r="D294" s="1"/>
      <c r="E294" s="1"/>
      <c r="F294" s="1"/>
    </row>
    <row r="295" spans="1:6" ht="15.75" customHeight="1" x14ac:dyDescent="0.25">
      <c r="A295" s="1"/>
      <c r="B295" s="1"/>
      <c r="C295" s="1"/>
      <c r="D295" s="1"/>
      <c r="E295" s="1"/>
      <c r="F295" s="1"/>
    </row>
    <row r="296" spans="1:6" ht="15.75" customHeight="1" x14ac:dyDescent="0.25">
      <c r="A296" s="1"/>
      <c r="B296" s="1"/>
      <c r="C296" s="1"/>
      <c r="D296" s="1"/>
      <c r="E296" s="1"/>
      <c r="F296" s="1"/>
    </row>
    <row r="297" spans="1:6" ht="15.75" customHeight="1" x14ac:dyDescent="0.25">
      <c r="A297" s="1"/>
      <c r="B297" s="1"/>
      <c r="C297" s="1"/>
      <c r="D297" s="1"/>
      <c r="E297" s="1"/>
      <c r="F297" s="1"/>
    </row>
    <row r="298" spans="1:6" ht="15.75" customHeight="1" x14ac:dyDescent="0.25">
      <c r="A298" s="1"/>
      <c r="B298" s="1"/>
      <c r="C298" s="1"/>
      <c r="D298" s="1"/>
      <c r="E298" s="1"/>
      <c r="F298" s="1"/>
    </row>
    <row r="299" spans="1:6" ht="15.75" customHeight="1" x14ac:dyDescent="0.25">
      <c r="A299" s="1"/>
      <c r="B299" s="1"/>
      <c r="C299" s="1"/>
      <c r="D299" s="1"/>
      <c r="E299" s="1"/>
      <c r="F299" s="1"/>
    </row>
    <row r="300" spans="1:6" ht="15.75" customHeight="1" x14ac:dyDescent="0.25">
      <c r="A300" s="1"/>
      <c r="B300" s="1"/>
      <c r="C300" s="1"/>
      <c r="D300" s="1"/>
      <c r="E300" s="1"/>
      <c r="F300" s="1"/>
    </row>
    <row r="301" spans="1:6" ht="15.75" customHeight="1" x14ac:dyDescent="0.25">
      <c r="A301" s="1"/>
      <c r="B301" s="1"/>
      <c r="C301" s="1"/>
      <c r="D301" s="1"/>
      <c r="E301" s="1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"/>
      <c r="F303" s="1"/>
    </row>
    <row r="304" spans="1:6" ht="15.75" customHeight="1" x14ac:dyDescent="0.25">
      <c r="A304" s="1"/>
      <c r="B304" s="1"/>
      <c r="C304" s="1"/>
      <c r="D304" s="1"/>
      <c r="E304" s="1"/>
      <c r="F304" s="1"/>
    </row>
    <row r="305" spans="1:6" ht="15.75" customHeight="1" x14ac:dyDescent="0.25">
      <c r="A305" s="1"/>
      <c r="B305" s="1"/>
      <c r="C305" s="1"/>
      <c r="D305" s="1"/>
      <c r="E305" s="1"/>
      <c r="F305" s="1"/>
    </row>
    <row r="306" spans="1:6" ht="15.75" customHeight="1" x14ac:dyDescent="0.25">
      <c r="A306" s="1"/>
      <c r="B306" s="1"/>
      <c r="C306" s="1"/>
      <c r="D306" s="1"/>
      <c r="E306" s="1"/>
      <c r="F306" s="1"/>
    </row>
    <row r="307" spans="1:6" ht="15.75" customHeight="1" x14ac:dyDescent="0.25">
      <c r="A307" s="1"/>
      <c r="B307" s="1"/>
      <c r="C307" s="1"/>
      <c r="D307" s="1"/>
      <c r="E307" s="1"/>
      <c r="F307" s="1"/>
    </row>
    <row r="308" spans="1:6" ht="15.75" customHeight="1" x14ac:dyDescent="0.25">
      <c r="A308" s="1"/>
      <c r="B308" s="1"/>
      <c r="C308" s="1"/>
      <c r="D308" s="1"/>
      <c r="E308" s="1"/>
      <c r="F308" s="1"/>
    </row>
    <row r="309" spans="1:6" ht="15.75" customHeight="1" x14ac:dyDescent="0.25">
      <c r="A309" s="1"/>
      <c r="B309" s="1"/>
      <c r="C309" s="1"/>
      <c r="D309" s="1"/>
      <c r="E309" s="1"/>
      <c r="F309" s="1"/>
    </row>
    <row r="310" spans="1:6" ht="15.75" customHeight="1" x14ac:dyDescent="0.25">
      <c r="A310" s="1"/>
      <c r="B310" s="1"/>
      <c r="C310" s="1"/>
      <c r="D310" s="1"/>
      <c r="E310" s="1"/>
      <c r="F310" s="1"/>
    </row>
    <row r="311" spans="1:6" ht="15.75" customHeight="1" x14ac:dyDescent="0.25">
      <c r="A311" s="1"/>
      <c r="B311" s="1"/>
      <c r="C311" s="1"/>
      <c r="D311" s="1"/>
      <c r="E311" s="1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"/>
      <c r="F313" s="1"/>
    </row>
    <row r="314" spans="1:6" ht="15.75" customHeight="1" x14ac:dyDescent="0.25">
      <c r="A314" s="1"/>
      <c r="B314" s="1"/>
      <c r="C314" s="1"/>
      <c r="D314" s="1"/>
      <c r="E314" s="1"/>
      <c r="F314" s="1"/>
    </row>
    <row r="315" spans="1:6" ht="15.75" customHeight="1" x14ac:dyDescent="0.25">
      <c r="A315" s="1"/>
      <c r="B315" s="1"/>
      <c r="C315" s="1"/>
      <c r="D315" s="1"/>
      <c r="E315" s="1"/>
      <c r="F315" s="1"/>
    </row>
    <row r="316" spans="1:6" ht="15.75" customHeight="1" x14ac:dyDescent="0.25">
      <c r="A316" s="1"/>
      <c r="B316" s="1"/>
      <c r="C316" s="1"/>
      <c r="D316" s="1"/>
      <c r="E316" s="1"/>
      <c r="F316" s="1"/>
    </row>
    <row r="317" spans="1:6" ht="15.75" customHeight="1" x14ac:dyDescent="0.25">
      <c r="A317" s="1"/>
      <c r="B317" s="1"/>
      <c r="C317" s="1"/>
      <c r="D317" s="1"/>
      <c r="E317" s="1"/>
      <c r="F317" s="1"/>
    </row>
    <row r="318" spans="1:6" ht="15.75" customHeight="1" x14ac:dyDescent="0.25">
      <c r="A318" s="1"/>
      <c r="B318" s="1"/>
      <c r="C318" s="1"/>
      <c r="D318" s="1"/>
      <c r="E318" s="1"/>
      <c r="F318" s="1"/>
    </row>
    <row r="319" spans="1:6" ht="15.75" customHeight="1" x14ac:dyDescent="0.25">
      <c r="A319" s="1"/>
      <c r="B319" s="1"/>
      <c r="C319" s="1"/>
      <c r="D319" s="1"/>
      <c r="E319" s="1"/>
      <c r="F319" s="1"/>
    </row>
    <row r="320" spans="1:6" ht="15.75" customHeight="1" x14ac:dyDescent="0.25">
      <c r="A320" s="1"/>
      <c r="B320" s="1"/>
      <c r="C320" s="1"/>
      <c r="D320" s="1"/>
      <c r="E320" s="1"/>
      <c r="F320" s="1"/>
    </row>
    <row r="321" spans="1:6" ht="15.75" customHeight="1" x14ac:dyDescent="0.25">
      <c r="A321" s="1"/>
      <c r="B321" s="1"/>
      <c r="C321" s="1"/>
      <c r="D321" s="1"/>
      <c r="E321" s="1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"/>
      <c r="F323" s="1"/>
    </row>
    <row r="324" spans="1:6" ht="15.75" customHeight="1" x14ac:dyDescent="0.25">
      <c r="A324" s="1"/>
      <c r="B324" s="1"/>
      <c r="C324" s="1"/>
      <c r="D324" s="1"/>
      <c r="E324" s="1"/>
      <c r="F324" s="1"/>
    </row>
    <row r="325" spans="1:6" ht="15.75" customHeight="1" x14ac:dyDescent="0.25">
      <c r="A325" s="1"/>
      <c r="B325" s="1"/>
      <c r="C325" s="1"/>
      <c r="D325" s="1"/>
      <c r="E325" s="1"/>
      <c r="F325" s="1"/>
    </row>
    <row r="326" spans="1:6" ht="15.75" customHeight="1" x14ac:dyDescent="0.25">
      <c r="A326" s="1"/>
      <c r="B326" s="1"/>
      <c r="C326" s="1"/>
      <c r="D326" s="1"/>
      <c r="E326" s="1"/>
      <c r="F326" s="1"/>
    </row>
    <row r="327" spans="1:6" ht="15.75" customHeight="1" x14ac:dyDescent="0.25">
      <c r="A327" s="1"/>
      <c r="B327" s="1"/>
      <c r="C327" s="1"/>
      <c r="D327" s="1"/>
      <c r="E327" s="1"/>
      <c r="F327" s="1"/>
    </row>
    <row r="328" spans="1:6" ht="15.75" customHeight="1" x14ac:dyDescent="0.25">
      <c r="A328" s="1"/>
      <c r="B328" s="1"/>
      <c r="C328" s="1"/>
      <c r="D328" s="1"/>
      <c r="E328" s="1"/>
      <c r="F328" s="1"/>
    </row>
    <row r="329" spans="1:6" ht="15.75" customHeight="1" x14ac:dyDescent="0.25">
      <c r="A329" s="1"/>
      <c r="B329" s="1"/>
      <c r="C329" s="1"/>
      <c r="D329" s="1"/>
      <c r="E329" s="1"/>
      <c r="F329" s="1"/>
    </row>
    <row r="330" spans="1:6" ht="15.75" customHeight="1" x14ac:dyDescent="0.25">
      <c r="A330" s="1"/>
      <c r="B330" s="1"/>
      <c r="C330" s="1"/>
      <c r="D330" s="1"/>
      <c r="E330" s="1"/>
      <c r="F330" s="1"/>
    </row>
    <row r="331" spans="1:6" ht="15.75" customHeight="1" x14ac:dyDescent="0.25">
      <c r="A331" s="1"/>
      <c r="B331" s="1"/>
      <c r="C331" s="1"/>
      <c r="D331" s="1"/>
      <c r="E331" s="1"/>
      <c r="F331" s="1"/>
    </row>
    <row r="332" spans="1:6" ht="15.75" customHeight="1" x14ac:dyDescent="0.25">
      <c r="A332" s="1"/>
      <c r="B332" s="1"/>
      <c r="C332" s="1"/>
      <c r="D332" s="1"/>
      <c r="E332" s="1"/>
      <c r="F332" s="1"/>
    </row>
    <row r="333" spans="1:6" ht="15.75" customHeight="1" x14ac:dyDescent="0.25">
      <c r="A333" s="1"/>
      <c r="B333" s="1"/>
      <c r="C333" s="1"/>
      <c r="D333" s="1"/>
      <c r="E333" s="1"/>
      <c r="F333" s="1"/>
    </row>
    <row r="334" spans="1:6" ht="15.75" customHeight="1" x14ac:dyDescent="0.25">
      <c r="A334" s="1"/>
      <c r="B334" s="1"/>
      <c r="C334" s="1"/>
      <c r="D334" s="1"/>
      <c r="E334" s="1"/>
      <c r="F334" s="1"/>
    </row>
    <row r="335" spans="1:6" ht="15.75" customHeight="1" x14ac:dyDescent="0.25">
      <c r="A335" s="1"/>
      <c r="B335" s="1"/>
      <c r="C335" s="1"/>
      <c r="D335" s="1"/>
      <c r="E335" s="1"/>
      <c r="F335" s="1"/>
    </row>
    <row r="336" spans="1:6" ht="15.75" customHeight="1" x14ac:dyDescent="0.25">
      <c r="A336" s="1"/>
      <c r="B336" s="1"/>
      <c r="C336" s="1"/>
      <c r="D336" s="1"/>
      <c r="E336" s="1"/>
      <c r="F336" s="1"/>
    </row>
    <row r="337" spans="1:6" ht="15.75" customHeight="1" x14ac:dyDescent="0.25">
      <c r="A337" s="1"/>
      <c r="B337" s="1"/>
      <c r="C337" s="1"/>
      <c r="D337" s="1"/>
      <c r="E337" s="1"/>
      <c r="F337" s="1"/>
    </row>
    <row r="338" spans="1:6" ht="15.75" customHeight="1" x14ac:dyDescent="0.25">
      <c r="A338" s="1"/>
      <c r="B338" s="1"/>
      <c r="C338" s="1"/>
      <c r="D338" s="1"/>
      <c r="E338" s="1"/>
      <c r="F338" s="1"/>
    </row>
    <row r="339" spans="1:6" ht="15.75" customHeight="1" x14ac:dyDescent="0.25">
      <c r="A339" s="1"/>
      <c r="B339" s="1"/>
      <c r="C339" s="1"/>
      <c r="D339" s="1"/>
      <c r="E339" s="1"/>
      <c r="F339" s="1"/>
    </row>
    <row r="340" spans="1:6" ht="15.75" customHeight="1" x14ac:dyDescent="0.25">
      <c r="A340" s="1"/>
      <c r="B340" s="1"/>
      <c r="C340" s="1"/>
      <c r="D340" s="1"/>
      <c r="E340" s="1"/>
      <c r="F340" s="1"/>
    </row>
    <row r="341" spans="1:6" ht="15.75" customHeight="1" x14ac:dyDescent="0.25">
      <c r="A341" s="1"/>
      <c r="B341" s="1"/>
      <c r="C341" s="1"/>
      <c r="D341" s="1"/>
      <c r="E341" s="1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"/>
      <c r="F343" s="1"/>
    </row>
    <row r="344" spans="1:6" ht="15.75" customHeight="1" x14ac:dyDescent="0.25">
      <c r="A344" s="1"/>
      <c r="B344" s="1"/>
      <c r="C344" s="1"/>
      <c r="D344" s="1"/>
      <c r="E344" s="1"/>
      <c r="F344" s="1"/>
    </row>
    <row r="345" spans="1:6" ht="15.75" customHeight="1" x14ac:dyDescent="0.25">
      <c r="A345" s="1"/>
      <c r="B345" s="1"/>
      <c r="C345" s="1"/>
      <c r="D345" s="1"/>
      <c r="E345" s="1"/>
      <c r="F345" s="1"/>
    </row>
    <row r="346" spans="1:6" ht="15.75" customHeight="1" x14ac:dyDescent="0.25">
      <c r="A346" s="1"/>
      <c r="B346" s="1"/>
      <c r="C346" s="1"/>
      <c r="D346" s="1"/>
      <c r="E346" s="1"/>
      <c r="F346" s="1"/>
    </row>
    <row r="347" spans="1:6" ht="15.75" customHeight="1" x14ac:dyDescent="0.25">
      <c r="A347" s="1"/>
      <c r="B347" s="1"/>
      <c r="C347" s="1"/>
      <c r="D347" s="1"/>
      <c r="E347" s="1"/>
      <c r="F347" s="1"/>
    </row>
    <row r="348" spans="1:6" ht="15.75" customHeight="1" x14ac:dyDescent="0.25">
      <c r="A348" s="1"/>
      <c r="B348" s="1"/>
      <c r="C348" s="1"/>
      <c r="D348" s="1"/>
      <c r="E348" s="1"/>
      <c r="F348" s="1"/>
    </row>
    <row r="349" spans="1:6" ht="15.75" customHeight="1" x14ac:dyDescent="0.25">
      <c r="A349" s="1"/>
      <c r="B349" s="1"/>
      <c r="C349" s="1"/>
      <c r="D349" s="1"/>
      <c r="E349" s="1"/>
      <c r="F349" s="1"/>
    </row>
    <row r="350" spans="1:6" ht="15.75" customHeight="1" x14ac:dyDescent="0.25">
      <c r="A350" s="1"/>
      <c r="B350" s="1"/>
      <c r="C350" s="1"/>
      <c r="D350" s="1"/>
      <c r="E350" s="1"/>
      <c r="F350" s="1"/>
    </row>
    <row r="351" spans="1:6" ht="15.75" customHeight="1" x14ac:dyDescent="0.25">
      <c r="A351" s="1"/>
      <c r="B351" s="1"/>
      <c r="C351" s="1"/>
      <c r="D351" s="1"/>
      <c r="E351" s="1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"/>
      <c r="F353" s="1"/>
    </row>
    <row r="354" spans="1:6" ht="15.75" customHeight="1" x14ac:dyDescent="0.25">
      <c r="A354" s="1"/>
      <c r="B354" s="1"/>
      <c r="C354" s="1"/>
      <c r="D354" s="1"/>
      <c r="E354" s="1"/>
      <c r="F354" s="1"/>
    </row>
    <row r="355" spans="1:6" ht="15.75" customHeight="1" x14ac:dyDescent="0.25">
      <c r="A355" s="1"/>
      <c r="B355" s="1"/>
      <c r="C355" s="1"/>
      <c r="D355" s="1"/>
      <c r="E355" s="1"/>
      <c r="F355" s="1"/>
    </row>
    <row r="356" spans="1:6" ht="15.75" customHeight="1" x14ac:dyDescent="0.25">
      <c r="A356" s="1"/>
      <c r="B356" s="1"/>
      <c r="C356" s="1"/>
      <c r="D356" s="1"/>
      <c r="E356" s="1"/>
      <c r="F356" s="1"/>
    </row>
    <row r="357" spans="1:6" ht="15.75" customHeight="1" x14ac:dyDescent="0.25">
      <c r="A357" s="1"/>
      <c r="B357" s="1"/>
      <c r="C357" s="1"/>
      <c r="D357" s="1"/>
      <c r="E357" s="1"/>
      <c r="F357" s="1"/>
    </row>
    <row r="358" spans="1:6" ht="15.75" customHeight="1" x14ac:dyDescent="0.25">
      <c r="A358" s="1"/>
      <c r="B358" s="1"/>
      <c r="C358" s="1"/>
      <c r="D358" s="1"/>
      <c r="E358" s="1"/>
      <c r="F358" s="1"/>
    </row>
    <row r="359" spans="1:6" ht="15.75" customHeight="1" x14ac:dyDescent="0.25">
      <c r="A359" s="1"/>
      <c r="B359" s="1"/>
      <c r="C359" s="1"/>
      <c r="D359" s="1"/>
      <c r="E359" s="1"/>
      <c r="F359" s="1"/>
    </row>
    <row r="360" spans="1:6" ht="15.75" customHeight="1" x14ac:dyDescent="0.25">
      <c r="A360" s="1"/>
      <c r="B360" s="1"/>
      <c r="C360" s="1"/>
      <c r="D360" s="1"/>
      <c r="E360" s="1"/>
      <c r="F360" s="1"/>
    </row>
    <row r="361" spans="1:6" ht="15.75" customHeight="1" x14ac:dyDescent="0.25">
      <c r="A361" s="1"/>
      <c r="B361" s="1"/>
      <c r="C361" s="1"/>
      <c r="D361" s="1"/>
      <c r="E361" s="1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"/>
      <c r="F363" s="1"/>
    </row>
    <row r="364" spans="1:6" ht="15.75" customHeight="1" x14ac:dyDescent="0.25">
      <c r="A364" s="1"/>
      <c r="B364" s="1"/>
      <c r="C364" s="1"/>
      <c r="D364" s="1"/>
      <c r="E364" s="1"/>
      <c r="F364" s="1"/>
    </row>
    <row r="365" spans="1:6" ht="15.75" customHeight="1" x14ac:dyDescent="0.25">
      <c r="A365" s="1"/>
      <c r="B365" s="1"/>
      <c r="C365" s="1"/>
      <c r="D365" s="1"/>
      <c r="E365" s="1"/>
      <c r="F365" s="1"/>
    </row>
    <row r="366" spans="1:6" ht="15.75" customHeight="1" x14ac:dyDescent="0.25">
      <c r="A366" s="1"/>
      <c r="B366" s="1"/>
      <c r="C366" s="1"/>
      <c r="D366" s="1"/>
      <c r="E366" s="1"/>
      <c r="F366" s="1"/>
    </row>
    <row r="367" spans="1:6" ht="15.75" customHeight="1" x14ac:dyDescent="0.25">
      <c r="A367" s="1"/>
      <c r="B367" s="1"/>
      <c r="C367" s="1"/>
      <c r="D367" s="1"/>
      <c r="E367" s="1"/>
      <c r="F367" s="1"/>
    </row>
    <row r="368" spans="1:6" ht="15.75" customHeight="1" x14ac:dyDescent="0.25">
      <c r="A368" s="1"/>
      <c r="B368" s="1"/>
      <c r="C368" s="1"/>
      <c r="D368" s="1"/>
      <c r="E368" s="1"/>
      <c r="F368" s="1"/>
    </row>
    <row r="369" spans="1:6" ht="15.75" customHeight="1" x14ac:dyDescent="0.25">
      <c r="A369" s="1"/>
      <c r="B369" s="1"/>
      <c r="C369" s="1"/>
      <c r="D369" s="1"/>
      <c r="E369" s="1"/>
      <c r="F369" s="1"/>
    </row>
    <row r="370" spans="1:6" ht="15.75" customHeight="1" x14ac:dyDescent="0.25">
      <c r="A370" s="1"/>
      <c r="B370" s="1"/>
      <c r="C370" s="1"/>
      <c r="D370" s="1"/>
      <c r="E370" s="1"/>
      <c r="F370" s="1"/>
    </row>
    <row r="371" spans="1:6" ht="15.75" customHeight="1" x14ac:dyDescent="0.25">
      <c r="A371" s="1"/>
      <c r="B371" s="1"/>
      <c r="C371" s="1"/>
      <c r="D371" s="1"/>
      <c r="E371" s="1"/>
      <c r="F371" s="1"/>
    </row>
    <row r="372" spans="1:6" ht="15.75" customHeight="1" x14ac:dyDescent="0.25">
      <c r="A372" s="1"/>
      <c r="B372" s="1"/>
      <c r="C372" s="1"/>
      <c r="D372" s="1"/>
      <c r="E372" s="1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1"/>
      <c r="F374" s="1"/>
    </row>
    <row r="375" spans="1:6" ht="15.75" customHeight="1" x14ac:dyDescent="0.25">
      <c r="A375" s="1"/>
      <c r="B375" s="1"/>
      <c r="C375" s="1"/>
      <c r="D375" s="1"/>
      <c r="E375" s="1"/>
      <c r="F375" s="1"/>
    </row>
    <row r="376" spans="1:6" ht="15.75" customHeight="1" x14ac:dyDescent="0.25">
      <c r="A376" s="1"/>
      <c r="B376" s="1"/>
      <c r="C376" s="1"/>
      <c r="D376" s="1"/>
      <c r="E376" s="1"/>
      <c r="F376" s="1"/>
    </row>
    <row r="377" spans="1:6" ht="15.75" customHeight="1" x14ac:dyDescent="0.25">
      <c r="A377" s="1"/>
      <c r="B377" s="1"/>
      <c r="C377" s="1"/>
      <c r="D377" s="1"/>
      <c r="E377" s="1"/>
      <c r="F377" s="1"/>
    </row>
    <row r="378" spans="1:6" ht="15.75" customHeight="1" x14ac:dyDescent="0.25">
      <c r="A378" s="1"/>
      <c r="B378" s="1"/>
      <c r="C378" s="1"/>
      <c r="D378" s="1"/>
      <c r="E378" s="1"/>
      <c r="F378" s="1"/>
    </row>
    <row r="379" spans="1:6" ht="15.75" customHeight="1" x14ac:dyDescent="0.25">
      <c r="A379" s="1"/>
      <c r="B379" s="1"/>
      <c r="C379" s="1"/>
      <c r="D379" s="1"/>
      <c r="E379" s="1"/>
      <c r="F379" s="1"/>
    </row>
    <row r="380" spans="1:6" ht="15.75" customHeight="1" x14ac:dyDescent="0.25">
      <c r="A380" s="1"/>
      <c r="B380" s="1"/>
      <c r="C380" s="1"/>
      <c r="D380" s="1"/>
      <c r="E380" s="1"/>
      <c r="F380" s="1"/>
    </row>
    <row r="381" spans="1:6" ht="15.75" customHeight="1" x14ac:dyDescent="0.25">
      <c r="A381" s="1"/>
      <c r="B381" s="1"/>
      <c r="C381" s="1"/>
      <c r="D381" s="1"/>
      <c r="E381" s="1"/>
      <c r="F381" s="1"/>
    </row>
    <row r="382" spans="1:6" ht="15.75" customHeight="1" x14ac:dyDescent="0.25">
      <c r="A382" s="1"/>
      <c r="B382" s="1"/>
      <c r="C382" s="1"/>
      <c r="D382" s="1"/>
      <c r="E382" s="1"/>
      <c r="F382" s="1"/>
    </row>
    <row r="383" spans="1:6" ht="15.75" customHeight="1" x14ac:dyDescent="0.25">
      <c r="A383" s="1"/>
      <c r="B383" s="1"/>
      <c r="C383" s="1"/>
      <c r="D383" s="1"/>
      <c r="E383" s="1"/>
      <c r="F383" s="1"/>
    </row>
    <row r="384" spans="1:6" ht="15.75" customHeight="1" x14ac:dyDescent="0.25">
      <c r="A384" s="1"/>
      <c r="B384" s="1"/>
      <c r="C384" s="1"/>
      <c r="D384" s="1"/>
      <c r="E384" s="1"/>
      <c r="F384" s="1"/>
    </row>
    <row r="385" spans="1:6" ht="15.75" customHeight="1" x14ac:dyDescent="0.25">
      <c r="A385" s="1"/>
      <c r="B385" s="1"/>
      <c r="C385" s="1"/>
      <c r="D385" s="1"/>
      <c r="E385" s="1"/>
      <c r="F385" s="1"/>
    </row>
    <row r="386" spans="1:6" ht="15.75" customHeight="1" x14ac:dyDescent="0.25">
      <c r="A386" s="1"/>
      <c r="B386" s="1"/>
      <c r="C386" s="1"/>
      <c r="D386" s="1"/>
      <c r="E386" s="1"/>
      <c r="F386" s="1"/>
    </row>
    <row r="387" spans="1:6" ht="15.75" customHeight="1" x14ac:dyDescent="0.25">
      <c r="A387" s="1"/>
      <c r="B387" s="1"/>
      <c r="C387" s="1"/>
      <c r="D387" s="1"/>
      <c r="E387" s="1"/>
      <c r="F387" s="1"/>
    </row>
    <row r="388" spans="1:6" ht="15.75" customHeight="1" x14ac:dyDescent="0.25">
      <c r="A388" s="1"/>
      <c r="B388" s="1"/>
      <c r="C388" s="1"/>
      <c r="D388" s="1"/>
      <c r="E388" s="1"/>
      <c r="F388" s="1"/>
    </row>
    <row r="389" spans="1:6" ht="15.75" customHeight="1" x14ac:dyDescent="0.25">
      <c r="A389" s="1"/>
      <c r="B389" s="1"/>
      <c r="C389" s="1"/>
      <c r="D389" s="1"/>
      <c r="E389" s="1"/>
      <c r="F389" s="1"/>
    </row>
    <row r="390" spans="1:6" ht="15.75" customHeight="1" x14ac:dyDescent="0.25">
      <c r="A390" s="1"/>
      <c r="B390" s="1"/>
      <c r="C390" s="1"/>
      <c r="D390" s="1"/>
      <c r="E390" s="1"/>
      <c r="F390" s="1"/>
    </row>
    <row r="391" spans="1:6" ht="15.75" customHeight="1" x14ac:dyDescent="0.25">
      <c r="A391" s="1"/>
      <c r="B391" s="1"/>
      <c r="C391" s="1"/>
      <c r="D391" s="1"/>
      <c r="E391" s="1"/>
      <c r="F391" s="1"/>
    </row>
    <row r="392" spans="1:6" ht="15.75" customHeight="1" x14ac:dyDescent="0.25">
      <c r="A392" s="1"/>
      <c r="B392" s="1"/>
      <c r="C392" s="1"/>
      <c r="D392" s="1"/>
      <c r="E392" s="1"/>
      <c r="F392" s="1"/>
    </row>
    <row r="393" spans="1:6" ht="15.75" customHeight="1" x14ac:dyDescent="0.25">
      <c r="A393" s="1"/>
      <c r="B393" s="1"/>
      <c r="C393" s="1"/>
      <c r="D393" s="1"/>
      <c r="E393" s="1"/>
      <c r="F393" s="1"/>
    </row>
    <row r="394" spans="1:6" ht="15.75" customHeight="1" x14ac:dyDescent="0.25">
      <c r="A394" s="1"/>
      <c r="B394" s="1"/>
      <c r="C394" s="1"/>
      <c r="D394" s="1"/>
      <c r="E394" s="1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"/>
      <c r="F396" s="1"/>
    </row>
    <row r="397" spans="1:6" ht="15.75" customHeight="1" x14ac:dyDescent="0.25">
      <c r="A397" s="1"/>
      <c r="B397" s="1"/>
      <c r="C397" s="1"/>
      <c r="D397" s="1"/>
      <c r="E397" s="1"/>
      <c r="F397" s="1"/>
    </row>
    <row r="398" spans="1:6" ht="15.75" customHeight="1" x14ac:dyDescent="0.25">
      <c r="A398" s="1"/>
      <c r="B398" s="1"/>
      <c r="C398" s="1"/>
      <c r="D398" s="1"/>
      <c r="E398" s="1"/>
      <c r="F398" s="1"/>
    </row>
    <row r="399" spans="1:6" ht="15.75" customHeight="1" x14ac:dyDescent="0.25">
      <c r="A399" s="1"/>
      <c r="B399" s="1"/>
      <c r="C399" s="1"/>
      <c r="D399" s="1"/>
      <c r="E399" s="1"/>
      <c r="F399" s="1"/>
    </row>
    <row r="400" spans="1:6" ht="15.75" customHeight="1" x14ac:dyDescent="0.25">
      <c r="A400" s="1"/>
      <c r="B400" s="1"/>
      <c r="C400" s="1"/>
      <c r="D400" s="1"/>
      <c r="E400" s="1"/>
      <c r="F400" s="1"/>
    </row>
    <row r="401" spans="1:6" ht="15.75" customHeight="1" x14ac:dyDescent="0.25">
      <c r="A401" s="1"/>
      <c r="B401" s="1"/>
      <c r="C401" s="1"/>
      <c r="D401" s="1"/>
      <c r="E401" s="1"/>
      <c r="F401" s="1"/>
    </row>
    <row r="402" spans="1:6" ht="15.75" customHeight="1" x14ac:dyDescent="0.25">
      <c r="A402" s="1"/>
      <c r="B402" s="1"/>
      <c r="C402" s="1"/>
      <c r="D402" s="1"/>
      <c r="E402" s="1"/>
      <c r="F402" s="1"/>
    </row>
    <row r="403" spans="1:6" ht="15.75" customHeight="1" x14ac:dyDescent="0.25">
      <c r="A403" s="1"/>
      <c r="B403" s="1"/>
      <c r="C403" s="1"/>
      <c r="D403" s="1"/>
      <c r="E403" s="1"/>
      <c r="F403" s="1"/>
    </row>
    <row r="404" spans="1:6" ht="15.75" customHeight="1" x14ac:dyDescent="0.25">
      <c r="A404" s="1"/>
      <c r="B404" s="1"/>
      <c r="C404" s="1"/>
      <c r="D404" s="1"/>
      <c r="E404" s="1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"/>
      <c r="F406" s="1"/>
    </row>
    <row r="407" spans="1:6" ht="15.75" customHeight="1" x14ac:dyDescent="0.25">
      <c r="A407" s="1"/>
      <c r="B407" s="1"/>
      <c r="C407" s="1"/>
      <c r="D407" s="1"/>
      <c r="E407" s="1"/>
      <c r="F407" s="1"/>
    </row>
    <row r="408" spans="1:6" ht="15.75" customHeight="1" x14ac:dyDescent="0.25">
      <c r="A408" s="1"/>
      <c r="B408" s="1"/>
      <c r="C408" s="1"/>
      <c r="D408" s="1"/>
      <c r="E408" s="1"/>
      <c r="F408" s="1"/>
    </row>
    <row r="409" spans="1:6" ht="15.75" customHeight="1" x14ac:dyDescent="0.25">
      <c r="A409" s="1"/>
      <c r="B409" s="1"/>
      <c r="C409" s="1"/>
      <c r="D409" s="1"/>
      <c r="E409" s="1"/>
      <c r="F409" s="1"/>
    </row>
    <row r="410" spans="1:6" ht="15.75" customHeight="1" x14ac:dyDescent="0.25">
      <c r="A410" s="1"/>
      <c r="B410" s="1"/>
      <c r="C410" s="1"/>
      <c r="D410" s="1"/>
      <c r="E410" s="1"/>
      <c r="F410" s="1"/>
    </row>
    <row r="411" spans="1:6" ht="15.75" customHeight="1" x14ac:dyDescent="0.25">
      <c r="A411" s="1"/>
      <c r="B411" s="1"/>
      <c r="C411" s="1"/>
      <c r="D411" s="1"/>
      <c r="E411" s="1"/>
      <c r="F411" s="1"/>
    </row>
    <row r="412" spans="1:6" ht="15.75" customHeight="1" x14ac:dyDescent="0.25">
      <c r="A412" s="1"/>
      <c r="B412" s="1"/>
      <c r="C412" s="1"/>
      <c r="D412" s="1"/>
      <c r="E412" s="1"/>
      <c r="F412" s="1"/>
    </row>
    <row r="413" spans="1:6" ht="15.75" customHeight="1" x14ac:dyDescent="0.25">
      <c r="A413" s="1"/>
      <c r="B413" s="1"/>
      <c r="C413" s="1"/>
      <c r="D413" s="1"/>
      <c r="E413" s="1"/>
      <c r="F413" s="1"/>
    </row>
    <row r="414" spans="1:6" ht="15.75" customHeight="1" x14ac:dyDescent="0.25">
      <c r="A414" s="1"/>
      <c r="B414" s="1"/>
      <c r="C414" s="1"/>
      <c r="D414" s="1"/>
      <c r="E414" s="1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"/>
      <c r="F416" s="1"/>
    </row>
    <row r="417" spans="1:6" ht="15.75" customHeight="1" x14ac:dyDescent="0.25">
      <c r="A417" s="1"/>
      <c r="B417" s="1"/>
      <c r="C417" s="1"/>
      <c r="D417" s="1"/>
      <c r="E417" s="1"/>
      <c r="F417" s="1"/>
    </row>
    <row r="418" spans="1:6" ht="15.75" customHeight="1" x14ac:dyDescent="0.25">
      <c r="A418" s="1"/>
      <c r="B418" s="1"/>
      <c r="C418" s="1"/>
      <c r="D418" s="1"/>
      <c r="E418" s="1"/>
      <c r="F418" s="1"/>
    </row>
    <row r="419" spans="1:6" ht="15.75" customHeight="1" x14ac:dyDescent="0.25">
      <c r="A419" s="1"/>
      <c r="B419" s="1"/>
      <c r="C419" s="1"/>
      <c r="D419" s="1"/>
      <c r="E419" s="1"/>
      <c r="F419" s="1"/>
    </row>
    <row r="420" spans="1:6" ht="15.75" customHeight="1" x14ac:dyDescent="0.25">
      <c r="A420" s="1"/>
      <c r="B420" s="1"/>
      <c r="C420" s="1"/>
      <c r="D420" s="1"/>
      <c r="E420" s="1"/>
      <c r="F420" s="1"/>
    </row>
    <row r="421" spans="1:6" ht="15.75" customHeight="1" x14ac:dyDescent="0.25">
      <c r="A421" s="1"/>
      <c r="B421" s="1"/>
      <c r="C421" s="1"/>
      <c r="D421" s="1"/>
      <c r="E421" s="1"/>
      <c r="F421" s="1"/>
    </row>
    <row r="422" spans="1:6" ht="15.75" customHeight="1" x14ac:dyDescent="0.25">
      <c r="A422" s="1"/>
      <c r="B422" s="1"/>
      <c r="C422" s="1"/>
      <c r="D422" s="1"/>
      <c r="E422" s="1"/>
      <c r="F422" s="1"/>
    </row>
    <row r="423" spans="1:6" ht="15.75" customHeight="1" x14ac:dyDescent="0.25">
      <c r="A423" s="1"/>
      <c r="B423" s="1"/>
      <c r="C423" s="1"/>
      <c r="D423" s="1"/>
      <c r="E423" s="1"/>
      <c r="F423" s="1"/>
    </row>
    <row r="424" spans="1:6" ht="15.75" customHeight="1" x14ac:dyDescent="0.25">
      <c r="A424" s="1"/>
      <c r="B424" s="1"/>
      <c r="C424" s="1"/>
      <c r="D424" s="1"/>
      <c r="E424" s="1"/>
      <c r="F424" s="1"/>
    </row>
    <row r="425" spans="1:6" ht="15.75" customHeight="1" x14ac:dyDescent="0.25">
      <c r="A425" s="1"/>
      <c r="B425" s="1"/>
      <c r="C425" s="1"/>
      <c r="D425" s="1"/>
      <c r="E425" s="1"/>
      <c r="F425" s="1"/>
    </row>
    <row r="426" spans="1:6" ht="15.75" customHeight="1" x14ac:dyDescent="0.25">
      <c r="A426" s="1"/>
      <c r="B426" s="1"/>
      <c r="C426" s="1"/>
      <c r="D426" s="1"/>
      <c r="E426" s="1"/>
      <c r="F426" s="1"/>
    </row>
    <row r="427" spans="1:6" ht="15.75" customHeight="1" x14ac:dyDescent="0.25">
      <c r="A427" s="1"/>
      <c r="B427" s="1"/>
      <c r="C427" s="1"/>
      <c r="D427" s="1"/>
      <c r="E427" s="1"/>
      <c r="F427" s="1"/>
    </row>
    <row r="428" spans="1:6" ht="15.75" customHeight="1" x14ac:dyDescent="0.25">
      <c r="A428" s="1"/>
      <c r="B428" s="1"/>
      <c r="C428" s="1"/>
      <c r="D428" s="1"/>
      <c r="E428" s="1"/>
      <c r="F428" s="1"/>
    </row>
    <row r="429" spans="1:6" ht="15.75" customHeight="1" x14ac:dyDescent="0.25">
      <c r="A429" s="1"/>
      <c r="B429" s="1"/>
      <c r="C429" s="1"/>
      <c r="D429" s="1"/>
      <c r="E429" s="1"/>
      <c r="F429" s="1"/>
    </row>
    <row r="430" spans="1:6" ht="15.75" customHeight="1" x14ac:dyDescent="0.25">
      <c r="A430" s="1"/>
      <c r="B430" s="1"/>
      <c r="C430" s="1"/>
      <c r="D430" s="1"/>
      <c r="E430" s="1"/>
      <c r="F430" s="1"/>
    </row>
    <row r="431" spans="1:6" ht="15.75" customHeight="1" x14ac:dyDescent="0.25">
      <c r="A431" s="1"/>
      <c r="B431" s="1"/>
      <c r="C431" s="1"/>
      <c r="D431" s="1"/>
      <c r="E431" s="1"/>
      <c r="F431" s="1"/>
    </row>
    <row r="432" spans="1:6" ht="15.75" customHeight="1" x14ac:dyDescent="0.25">
      <c r="A432" s="1"/>
      <c r="B432" s="1"/>
      <c r="C432" s="1"/>
      <c r="D432" s="1"/>
      <c r="E432" s="1"/>
      <c r="F432" s="1"/>
    </row>
    <row r="433" spans="1:6" ht="15.75" customHeight="1" x14ac:dyDescent="0.25">
      <c r="A433" s="1"/>
      <c r="B433" s="1"/>
      <c r="C433" s="1"/>
      <c r="D433" s="1"/>
      <c r="E433" s="1"/>
      <c r="F433" s="1"/>
    </row>
    <row r="434" spans="1:6" ht="15.75" customHeight="1" x14ac:dyDescent="0.25">
      <c r="A434" s="1"/>
      <c r="B434" s="1"/>
      <c r="C434" s="1"/>
      <c r="D434" s="1"/>
      <c r="E434" s="1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"/>
      <c r="F436" s="1"/>
    </row>
    <row r="437" spans="1:6" ht="15.75" customHeight="1" x14ac:dyDescent="0.25">
      <c r="A437" s="1"/>
      <c r="B437" s="1"/>
      <c r="C437" s="1"/>
      <c r="D437" s="1"/>
      <c r="E437" s="1"/>
      <c r="F437" s="1"/>
    </row>
    <row r="438" spans="1:6" ht="15.75" customHeight="1" x14ac:dyDescent="0.25">
      <c r="A438" s="1"/>
      <c r="B438" s="1"/>
      <c r="C438" s="1"/>
      <c r="D438" s="1"/>
      <c r="E438" s="1"/>
      <c r="F438" s="1"/>
    </row>
    <row r="439" spans="1:6" ht="15.75" customHeight="1" x14ac:dyDescent="0.25">
      <c r="A439" s="1"/>
      <c r="B439" s="1"/>
      <c r="C439" s="1"/>
      <c r="D439" s="1"/>
      <c r="E439" s="1"/>
      <c r="F439" s="1"/>
    </row>
    <row r="440" spans="1:6" ht="15.75" customHeight="1" x14ac:dyDescent="0.25">
      <c r="A440" s="1"/>
      <c r="B440" s="1"/>
      <c r="C440" s="1"/>
      <c r="D440" s="1"/>
      <c r="E440" s="1"/>
      <c r="F440" s="1"/>
    </row>
    <row r="441" spans="1:6" ht="15.75" customHeight="1" x14ac:dyDescent="0.25">
      <c r="A441" s="1"/>
      <c r="B441" s="1"/>
      <c r="C441" s="1"/>
      <c r="D441" s="1"/>
      <c r="E441" s="1"/>
      <c r="F441" s="1"/>
    </row>
    <row r="442" spans="1:6" ht="15.75" customHeight="1" x14ac:dyDescent="0.25">
      <c r="A442" s="1"/>
      <c r="B442" s="1"/>
      <c r="C442" s="1"/>
      <c r="D442" s="1"/>
      <c r="E442" s="1"/>
      <c r="F442" s="1"/>
    </row>
    <row r="443" spans="1:6" ht="15.75" customHeight="1" x14ac:dyDescent="0.25">
      <c r="A443" s="1"/>
      <c r="B443" s="1"/>
      <c r="C443" s="1"/>
      <c r="D443" s="1"/>
      <c r="E443" s="1"/>
      <c r="F443" s="1"/>
    </row>
    <row r="444" spans="1:6" ht="15.75" customHeight="1" x14ac:dyDescent="0.25">
      <c r="A444" s="1"/>
      <c r="B444" s="1"/>
      <c r="C444" s="1"/>
      <c r="D444" s="1"/>
      <c r="E444" s="1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"/>
      <c r="F446" s="1"/>
    </row>
    <row r="447" spans="1:6" ht="15.75" customHeight="1" x14ac:dyDescent="0.25">
      <c r="A447" s="1"/>
      <c r="B447" s="1"/>
      <c r="C447" s="1"/>
      <c r="D447" s="1"/>
      <c r="E447" s="1"/>
      <c r="F447" s="1"/>
    </row>
    <row r="448" spans="1:6" ht="15.75" customHeight="1" x14ac:dyDescent="0.25">
      <c r="A448" s="1"/>
      <c r="B448" s="1"/>
      <c r="C448" s="1"/>
      <c r="D448" s="1"/>
      <c r="E448" s="1"/>
      <c r="F448" s="1"/>
    </row>
    <row r="449" spans="1:6" ht="15.75" customHeight="1" x14ac:dyDescent="0.25">
      <c r="A449" s="1"/>
      <c r="B449" s="1"/>
      <c r="C449" s="1"/>
      <c r="D449" s="1"/>
      <c r="E449" s="1"/>
      <c r="F449" s="1"/>
    </row>
    <row r="450" spans="1:6" ht="15.75" customHeight="1" x14ac:dyDescent="0.25">
      <c r="A450" s="1"/>
      <c r="B450" s="1"/>
      <c r="C450" s="1"/>
      <c r="D450" s="1"/>
      <c r="E450" s="1"/>
      <c r="F450" s="1"/>
    </row>
    <row r="451" spans="1:6" ht="15.75" customHeight="1" x14ac:dyDescent="0.25">
      <c r="A451" s="1"/>
      <c r="B451" s="1"/>
      <c r="C451" s="1"/>
      <c r="D451" s="1"/>
      <c r="E451" s="1"/>
      <c r="F451" s="1"/>
    </row>
    <row r="452" spans="1:6" ht="15.75" customHeight="1" x14ac:dyDescent="0.25">
      <c r="A452" s="1"/>
      <c r="B452" s="1"/>
      <c r="C452" s="1"/>
      <c r="D452" s="1"/>
      <c r="E452" s="1"/>
      <c r="F452" s="1"/>
    </row>
    <row r="453" spans="1:6" ht="15.75" customHeight="1" x14ac:dyDescent="0.25">
      <c r="A453" s="1"/>
      <c r="B453" s="1"/>
      <c r="C453" s="1"/>
      <c r="D453" s="1"/>
      <c r="E453" s="1"/>
      <c r="F453" s="1"/>
    </row>
    <row r="454" spans="1:6" ht="15.75" customHeight="1" x14ac:dyDescent="0.25">
      <c r="A454" s="1"/>
      <c r="B454" s="1"/>
      <c r="C454" s="1"/>
      <c r="D454" s="1"/>
      <c r="E454" s="1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"/>
      <c r="F456" s="1"/>
    </row>
    <row r="457" spans="1:6" ht="15.75" customHeight="1" x14ac:dyDescent="0.25">
      <c r="A457" s="1"/>
      <c r="B457" s="1"/>
      <c r="C457" s="1"/>
      <c r="D457" s="1"/>
      <c r="E457" s="1"/>
      <c r="F457" s="1"/>
    </row>
    <row r="458" spans="1:6" ht="15.75" customHeight="1" x14ac:dyDescent="0.25">
      <c r="A458" s="1"/>
      <c r="B458" s="1"/>
      <c r="C458" s="1"/>
      <c r="D458" s="1"/>
      <c r="E458" s="1"/>
      <c r="F458" s="1"/>
    </row>
    <row r="459" spans="1:6" ht="15.75" customHeight="1" x14ac:dyDescent="0.25">
      <c r="A459" s="1"/>
      <c r="B459" s="1"/>
      <c r="C459" s="1"/>
      <c r="D459" s="1"/>
      <c r="E459" s="1"/>
      <c r="F459" s="1"/>
    </row>
    <row r="460" spans="1:6" ht="15.75" customHeight="1" x14ac:dyDescent="0.25">
      <c r="A460" s="1"/>
      <c r="B460" s="1"/>
      <c r="C460" s="1"/>
      <c r="D460" s="1"/>
      <c r="E460" s="1"/>
      <c r="F460" s="1"/>
    </row>
    <row r="461" spans="1:6" ht="15.75" customHeight="1" x14ac:dyDescent="0.25">
      <c r="A461" s="1"/>
      <c r="B461" s="1"/>
      <c r="C461" s="1"/>
      <c r="D461" s="1"/>
      <c r="E461" s="1"/>
      <c r="F461" s="1"/>
    </row>
    <row r="462" spans="1:6" ht="15.75" customHeight="1" x14ac:dyDescent="0.25">
      <c r="A462" s="1"/>
      <c r="B462" s="1"/>
      <c r="C462" s="1"/>
      <c r="D462" s="1"/>
      <c r="E462" s="1"/>
      <c r="F462" s="1"/>
    </row>
    <row r="463" spans="1:6" ht="15.75" customHeight="1" x14ac:dyDescent="0.25">
      <c r="A463" s="1"/>
      <c r="B463" s="1"/>
      <c r="C463" s="1"/>
      <c r="D463" s="1"/>
      <c r="E463" s="1"/>
      <c r="F463" s="1"/>
    </row>
    <row r="464" spans="1:6" ht="15.75" customHeight="1" x14ac:dyDescent="0.25">
      <c r="A464" s="1"/>
      <c r="B464" s="1"/>
      <c r="C464" s="1"/>
      <c r="D464" s="1"/>
      <c r="E464" s="1"/>
      <c r="F464" s="1"/>
    </row>
    <row r="465" spans="1:6" ht="15.75" customHeight="1" x14ac:dyDescent="0.25">
      <c r="A465" s="1"/>
      <c r="B465" s="1"/>
      <c r="C465" s="1"/>
      <c r="D465" s="1"/>
      <c r="E465" s="1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1"/>
      <c r="F467" s="1"/>
    </row>
    <row r="468" spans="1:6" ht="15.75" customHeight="1" x14ac:dyDescent="0.25">
      <c r="A468" s="1"/>
      <c r="B468" s="1"/>
      <c r="C468" s="1"/>
      <c r="D468" s="1"/>
      <c r="E468" s="1"/>
      <c r="F468" s="1"/>
    </row>
    <row r="469" spans="1:6" ht="15.75" customHeight="1" x14ac:dyDescent="0.25">
      <c r="A469" s="1"/>
      <c r="B469" s="1"/>
      <c r="C469" s="1"/>
      <c r="D469" s="1"/>
      <c r="E469" s="1"/>
      <c r="F469" s="1"/>
    </row>
    <row r="470" spans="1:6" ht="15.75" customHeight="1" x14ac:dyDescent="0.25">
      <c r="A470" s="1"/>
      <c r="B470" s="1"/>
      <c r="C470" s="1"/>
      <c r="D470" s="1"/>
      <c r="E470" s="1"/>
      <c r="F470" s="1"/>
    </row>
    <row r="471" spans="1:6" ht="15.75" customHeight="1" x14ac:dyDescent="0.25">
      <c r="A471" s="1"/>
      <c r="B471" s="1"/>
      <c r="C471" s="1"/>
      <c r="D471" s="1"/>
      <c r="E471" s="1"/>
      <c r="F471" s="1"/>
    </row>
    <row r="472" spans="1:6" ht="15.75" customHeight="1" x14ac:dyDescent="0.25">
      <c r="A472" s="1"/>
      <c r="B472" s="1"/>
      <c r="C472" s="1"/>
      <c r="D472" s="1"/>
      <c r="E472" s="1"/>
      <c r="F472" s="1"/>
    </row>
    <row r="473" spans="1:6" ht="15.75" customHeight="1" x14ac:dyDescent="0.25">
      <c r="A473" s="1"/>
      <c r="B473" s="1"/>
      <c r="C473" s="1"/>
      <c r="D473" s="1"/>
      <c r="E473" s="1"/>
      <c r="F473" s="1"/>
    </row>
    <row r="474" spans="1:6" ht="15.75" customHeight="1" x14ac:dyDescent="0.25">
      <c r="A474" s="1"/>
      <c r="B474" s="1"/>
      <c r="C474" s="1"/>
      <c r="D474" s="1"/>
      <c r="E474" s="1"/>
      <c r="F474" s="1"/>
    </row>
    <row r="475" spans="1:6" ht="15.75" customHeight="1" x14ac:dyDescent="0.25">
      <c r="A475" s="1"/>
      <c r="B475" s="1"/>
      <c r="C475" s="1"/>
      <c r="D475" s="1"/>
      <c r="E475" s="1"/>
      <c r="F475" s="1"/>
    </row>
    <row r="476" spans="1:6" ht="15.75" customHeight="1" x14ac:dyDescent="0.25">
      <c r="A476" s="1"/>
      <c r="B476" s="1"/>
      <c r="C476" s="1"/>
      <c r="D476" s="1"/>
      <c r="E476" s="1"/>
      <c r="F476" s="1"/>
    </row>
    <row r="477" spans="1:6" ht="15.75" customHeight="1" x14ac:dyDescent="0.25">
      <c r="A477" s="1"/>
      <c r="B477" s="1"/>
      <c r="C477" s="1"/>
      <c r="D477" s="1"/>
      <c r="E477" s="1"/>
      <c r="F477" s="1"/>
    </row>
    <row r="478" spans="1:6" ht="15.75" customHeight="1" x14ac:dyDescent="0.25">
      <c r="A478" s="1"/>
      <c r="B478" s="1"/>
      <c r="C478" s="1"/>
      <c r="D478" s="1"/>
      <c r="E478" s="1"/>
      <c r="F478" s="1"/>
    </row>
    <row r="479" spans="1:6" ht="15.75" customHeight="1" x14ac:dyDescent="0.25">
      <c r="A479" s="1"/>
      <c r="B479" s="1"/>
      <c r="C479" s="1"/>
      <c r="D479" s="1"/>
      <c r="E479" s="1"/>
      <c r="F479" s="1"/>
    </row>
    <row r="480" spans="1:6" ht="15.75" customHeight="1" x14ac:dyDescent="0.25">
      <c r="A480" s="1"/>
      <c r="B480" s="1"/>
      <c r="C480" s="1"/>
      <c r="D480" s="1"/>
      <c r="E480" s="1"/>
      <c r="F480" s="1"/>
    </row>
    <row r="481" spans="1:6" ht="15.75" customHeight="1" x14ac:dyDescent="0.25">
      <c r="A481" s="1"/>
      <c r="B481" s="1"/>
      <c r="C481" s="1"/>
      <c r="D481" s="1"/>
      <c r="E481" s="1"/>
      <c r="F481" s="1"/>
    </row>
    <row r="482" spans="1:6" ht="15.75" customHeight="1" x14ac:dyDescent="0.25">
      <c r="A482" s="1"/>
      <c r="B482" s="1"/>
      <c r="C482" s="1"/>
      <c r="D482" s="1"/>
      <c r="E482" s="1"/>
      <c r="F482" s="1"/>
    </row>
    <row r="483" spans="1:6" ht="15.75" customHeight="1" x14ac:dyDescent="0.25">
      <c r="A483" s="1"/>
      <c r="B483" s="1"/>
      <c r="C483" s="1"/>
      <c r="D483" s="1"/>
      <c r="E483" s="1"/>
      <c r="F483" s="1"/>
    </row>
    <row r="484" spans="1:6" ht="15.75" customHeight="1" x14ac:dyDescent="0.25">
      <c r="A484" s="1"/>
      <c r="B484" s="1"/>
      <c r="C484" s="1"/>
      <c r="D484" s="1"/>
      <c r="E484" s="1"/>
      <c r="F484" s="1"/>
    </row>
    <row r="485" spans="1:6" ht="15.75" customHeight="1" x14ac:dyDescent="0.25">
      <c r="A485" s="1"/>
      <c r="B485" s="1"/>
      <c r="C485" s="1"/>
      <c r="D485" s="1"/>
      <c r="E485" s="1"/>
      <c r="F485" s="1"/>
    </row>
    <row r="486" spans="1:6" ht="15.75" customHeight="1" x14ac:dyDescent="0.25">
      <c r="A486" s="1"/>
      <c r="B486" s="1"/>
      <c r="C486" s="1"/>
      <c r="D486" s="1"/>
      <c r="E486" s="1"/>
      <c r="F486" s="1"/>
    </row>
    <row r="487" spans="1:6" ht="15.75" customHeight="1" x14ac:dyDescent="0.25">
      <c r="A487" s="1"/>
      <c r="B487" s="1"/>
      <c r="C487" s="1"/>
      <c r="D487" s="1"/>
      <c r="E487" s="1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"/>
      <c r="F489" s="1"/>
    </row>
    <row r="490" spans="1:6" ht="15.75" customHeight="1" x14ac:dyDescent="0.25">
      <c r="A490" s="1"/>
      <c r="B490" s="1"/>
      <c r="C490" s="1"/>
      <c r="D490" s="1"/>
      <c r="E490" s="1"/>
      <c r="F490" s="1"/>
    </row>
    <row r="491" spans="1:6" ht="15.75" customHeight="1" x14ac:dyDescent="0.25">
      <c r="A491" s="1"/>
      <c r="B491" s="1"/>
      <c r="C491" s="1"/>
      <c r="D491" s="1"/>
      <c r="E491" s="1"/>
      <c r="F491" s="1"/>
    </row>
    <row r="492" spans="1:6" ht="15.75" customHeight="1" x14ac:dyDescent="0.25">
      <c r="A492" s="1"/>
      <c r="B492" s="1"/>
      <c r="C492" s="1"/>
      <c r="D492" s="1"/>
      <c r="E492" s="1"/>
      <c r="F492" s="1"/>
    </row>
    <row r="493" spans="1:6" ht="15.75" customHeight="1" x14ac:dyDescent="0.25">
      <c r="A493" s="1"/>
      <c r="B493" s="1"/>
      <c r="C493" s="1"/>
      <c r="D493" s="1"/>
      <c r="E493" s="1"/>
      <c r="F493" s="1"/>
    </row>
    <row r="494" spans="1:6" ht="15.75" customHeight="1" x14ac:dyDescent="0.25">
      <c r="A494" s="1"/>
      <c r="B494" s="1"/>
      <c r="C494" s="1"/>
      <c r="D494" s="1"/>
      <c r="E494" s="1"/>
      <c r="F494" s="1"/>
    </row>
    <row r="495" spans="1:6" ht="15.75" customHeight="1" x14ac:dyDescent="0.25">
      <c r="A495" s="1"/>
      <c r="B495" s="1"/>
      <c r="C495" s="1"/>
      <c r="D495" s="1"/>
      <c r="E495" s="1"/>
      <c r="F495" s="1"/>
    </row>
    <row r="496" spans="1:6" ht="15.75" customHeight="1" x14ac:dyDescent="0.25">
      <c r="A496" s="1"/>
      <c r="B496" s="1"/>
      <c r="C496" s="1"/>
      <c r="D496" s="1"/>
      <c r="E496" s="1"/>
      <c r="F496" s="1"/>
    </row>
    <row r="497" spans="1:6" ht="15.75" customHeight="1" x14ac:dyDescent="0.25">
      <c r="A497" s="1"/>
      <c r="B497" s="1"/>
      <c r="C497" s="1"/>
      <c r="D497" s="1"/>
      <c r="E497" s="1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"/>
      <c r="F499" s="1"/>
    </row>
    <row r="500" spans="1:6" ht="15.75" customHeight="1" x14ac:dyDescent="0.25">
      <c r="A500" s="1"/>
      <c r="B500" s="1"/>
      <c r="C500" s="1"/>
      <c r="D500" s="1"/>
      <c r="E500" s="1"/>
      <c r="F500" s="1"/>
    </row>
    <row r="501" spans="1:6" ht="15.75" customHeight="1" x14ac:dyDescent="0.25">
      <c r="A501" s="1"/>
      <c r="B501" s="1"/>
      <c r="C501" s="1"/>
      <c r="D501" s="1"/>
      <c r="E501" s="1"/>
      <c r="F501" s="1"/>
    </row>
    <row r="502" spans="1:6" ht="15.75" customHeight="1" x14ac:dyDescent="0.25">
      <c r="A502" s="1"/>
      <c r="B502" s="1"/>
      <c r="C502" s="1"/>
      <c r="D502" s="1"/>
      <c r="E502" s="1"/>
      <c r="F502" s="1"/>
    </row>
    <row r="503" spans="1:6" ht="15.75" customHeight="1" x14ac:dyDescent="0.25">
      <c r="A503" s="1"/>
      <c r="B503" s="1"/>
      <c r="C503" s="1"/>
      <c r="D503" s="1"/>
      <c r="E503" s="1"/>
      <c r="F503" s="1"/>
    </row>
    <row r="504" spans="1:6" ht="15.75" customHeight="1" x14ac:dyDescent="0.25">
      <c r="A504" s="1"/>
      <c r="B504" s="1"/>
      <c r="C504" s="1"/>
      <c r="D504" s="1"/>
      <c r="E504" s="1"/>
      <c r="F504" s="1"/>
    </row>
    <row r="505" spans="1:6" ht="15.75" customHeight="1" x14ac:dyDescent="0.25">
      <c r="A505" s="1"/>
      <c r="B505" s="1"/>
      <c r="C505" s="1"/>
      <c r="D505" s="1"/>
      <c r="E505" s="1"/>
      <c r="F505" s="1"/>
    </row>
    <row r="506" spans="1:6" ht="15.75" customHeight="1" x14ac:dyDescent="0.25">
      <c r="A506" s="1"/>
      <c r="B506" s="1"/>
      <c r="C506" s="1"/>
      <c r="D506" s="1"/>
      <c r="E506" s="1"/>
      <c r="F506" s="1"/>
    </row>
    <row r="507" spans="1:6" ht="15.75" customHeight="1" x14ac:dyDescent="0.25">
      <c r="A507" s="1"/>
      <c r="B507" s="1"/>
      <c r="C507" s="1"/>
      <c r="D507" s="1"/>
      <c r="E507" s="1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"/>
      <c r="F509" s="1"/>
    </row>
    <row r="510" spans="1:6" ht="15.75" customHeight="1" x14ac:dyDescent="0.25">
      <c r="A510" s="1"/>
      <c r="B510" s="1"/>
      <c r="C510" s="1"/>
      <c r="D510" s="1"/>
      <c r="E510" s="1"/>
      <c r="F510" s="1"/>
    </row>
    <row r="511" spans="1:6" ht="15.75" customHeight="1" x14ac:dyDescent="0.25">
      <c r="A511" s="1"/>
      <c r="B511" s="1"/>
      <c r="C511" s="1"/>
      <c r="D511" s="1"/>
      <c r="E511" s="1"/>
      <c r="F511" s="1"/>
    </row>
    <row r="512" spans="1:6" ht="15.75" customHeight="1" x14ac:dyDescent="0.25">
      <c r="A512" s="1"/>
      <c r="B512" s="1"/>
      <c r="C512" s="1"/>
      <c r="D512" s="1"/>
      <c r="E512" s="1"/>
      <c r="F512" s="1"/>
    </row>
    <row r="513" spans="1:6" ht="15.75" customHeight="1" x14ac:dyDescent="0.25">
      <c r="A513" s="1"/>
      <c r="B513" s="1"/>
      <c r="C513" s="1"/>
      <c r="D513" s="1"/>
      <c r="E513" s="1"/>
      <c r="F513" s="1"/>
    </row>
    <row r="514" spans="1:6" ht="15.75" customHeight="1" x14ac:dyDescent="0.25">
      <c r="A514" s="1"/>
      <c r="B514" s="1"/>
      <c r="C514" s="1"/>
      <c r="D514" s="1"/>
      <c r="E514" s="1"/>
      <c r="F514" s="1"/>
    </row>
    <row r="515" spans="1:6" ht="15.75" customHeight="1" x14ac:dyDescent="0.25">
      <c r="A515" s="1"/>
      <c r="B515" s="1"/>
      <c r="C515" s="1"/>
      <c r="D515" s="1"/>
      <c r="E515" s="1"/>
      <c r="F515" s="1"/>
    </row>
    <row r="516" spans="1:6" ht="15.75" customHeight="1" x14ac:dyDescent="0.25">
      <c r="A516" s="1"/>
      <c r="B516" s="1"/>
      <c r="C516" s="1"/>
      <c r="D516" s="1"/>
      <c r="E516" s="1"/>
      <c r="F516" s="1"/>
    </row>
    <row r="517" spans="1:6" ht="15.75" customHeight="1" x14ac:dyDescent="0.25">
      <c r="A517" s="1"/>
      <c r="B517" s="1"/>
      <c r="C517" s="1"/>
      <c r="D517" s="1"/>
      <c r="E517" s="1"/>
      <c r="F517" s="1"/>
    </row>
    <row r="518" spans="1:6" ht="15.75" customHeight="1" x14ac:dyDescent="0.25">
      <c r="A518" s="1"/>
      <c r="B518" s="1"/>
      <c r="C518" s="1"/>
      <c r="D518" s="1"/>
      <c r="E518" s="1"/>
      <c r="F518" s="1"/>
    </row>
    <row r="519" spans="1:6" ht="15.75" customHeight="1" x14ac:dyDescent="0.25">
      <c r="A519" s="1"/>
      <c r="B519" s="1"/>
      <c r="C519" s="1"/>
      <c r="D519" s="1"/>
      <c r="E519" s="1"/>
      <c r="F519" s="1"/>
    </row>
    <row r="520" spans="1:6" ht="15.75" customHeight="1" x14ac:dyDescent="0.25">
      <c r="A520" s="1"/>
      <c r="B520" s="1"/>
      <c r="C520" s="1"/>
      <c r="D520" s="1"/>
      <c r="E520" s="1"/>
      <c r="F520" s="1"/>
    </row>
    <row r="521" spans="1:6" ht="15.75" customHeight="1" x14ac:dyDescent="0.25">
      <c r="A521" s="1"/>
      <c r="B521" s="1"/>
      <c r="C521" s="1"/>
      <c r="D521" s="1"/>
      <c r="E521" s="1"/>
      <c r="F521" s="1"/>
    </row>
    <row r="522" spans="1:6" ht="15.75" customHeight="1" x14ac:dyDescent="0.25">
      <c r="A522" s="1"/>
      <c r="B522" s="1"/>
      <c r="C522" s="1"/>
      <c r="D522" s="1"/>
      <c r="E522" s="1"/>
      <c r="F522" s="1"/>
    </row>
    <row r="523" spans="1:6" ht="15.75" customHeight="1" x14ac:dyDescent="0.25">
      <c r="A523" s="1"/>
      <c r="B523" s="1"/>
      <c r="C523" s="1"/>
      <c r="D523" s="1"/>
      <c r="E523" s="1"/>
      <c r="F523" s="1"/>
    </row>
    <row r="524" spans="1:6" ht="15.75" customHeight="1" x14ac:dyDescent="0.25">
      <c r="A524" s="1"/>
      <c r="B524" s="1"/>
      <c r="C524" s="1"/>
      <c r="D524" s="1"/>
      <c r="E524" s="1"/>
      <c r="F524" s="1"/>
    </row>
    <row r="525" spans="1:6" ht="15.75" customHeight="1" x14ac:dyDescent="0.25">
      <c r="A525" s="1"/>
      <c r="B525" s="1"/>
      <c r="C525" s="1"/>
      <c r="D525" s="1"/>
      <c r="E525" s="1"/>
      <c r="F525" s="1"/>
    </row>
    <row r="526" spans="1:6" ht="15.75" customHeight="1" x14ac:dyDescent="0.25">
      <c r="A526" s="1"/>
      <c r="B526" s="1"/>
      <c r="C526" s="1"/>
      <c r="D526" s="1"/>
      <c r="E526" s="1"/>
      <c r="F526" s="1"/>
    </row>
    <row r="527" spans="1:6" ht="15.75" customHeight="1" x14ac:dyDescent="0.25">
      <c r="A527" s="1"/>
      <c r="B527" s="1"/>
      <c r="C527" s="1"/>
      <c r="D527" s="1"/>
      <c r="E527" s="1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"/>
      <c r="F529" s="1"/>
    </row>
    <row r="530" spans="1:6" ht="15.75" customHeight="1" x14ac:dyDescent="0.25">
      <c r="A530" s="1"/>
      <c r="B530" s="1"/>
      <c r="C530" s="1"/>
      <c r="D530" s="1"/>
      <c r="E530" s="1"/>
      <c r="F530" s="1"/>
    </row>
    <row r="531" spans="1:6" ht="15.75" customHeight="1" x14ac:dyDescent="0.25">
      <c r="A531" s="1"/>
      <c r="B531" s="1"/>
      <c r="C531" s="1"/>
      <c r="D531" s="1"/>
      <c r="E531" s="1"/>
      <c r="F531" s="1"/>
    </row>
    <row r="532" spans="1:6" ht="15.75" customHeight="1" x14ac:dyDescent="0.25">
      <c r="A532" s="1"/>
      <c r="B532" s="1"/>
      <c r="C532" s="1"/>
      <c r="D532" s="1"/>
      <c r="E532" s="1"/>
      <c r="F532" s="1"/>
    </row>
    <row r="533" spans="1:6" ht="15.75" customHeight="1" x14ac:dyDescent="0.25">
      <c r="A533" s="1"/>
      <c r="B533" s="1"/>
      <c r="C533" s="1"/>
      <c r="D533" s="1"/>
      <c r="E533" s="1"/>
      <c r="F533" s="1"/>
    </row>
    <row r="534" spans="1:6" ht="15.75" customHeight="1" x14ac:dyDescent="0.25">
      <c r="A534" s="1"/>
      <c r="B534" s="1"/>
      <c r="C534" s="1"/>
      <c r="D534" s="1"/>
      <c r="E534" s="1"/>
      <c r="F534" s="1"/>
    </row>
    <row r="535" spans="1:6" ht="15.75" customHeight="1" x14ac:dyDescent="0.25">
      <c r="A535" s="1"/>
      <c r="B535" s="1"/>
      <c r="C535" s="1"/>
      <c r="D535" s="1"/>
      <c r="E535" s="1"/>
      <c r="F535" s="1"/>
    </row>
    <row r="536" spans="1:6" ht="15.75" customHeight="1" x14ac:dyDescent="0.25">
      <c r="A536" s="1"/>
      <c r="B536" s="1"/>
      <c r="C536" s="1"/>
      <c r="D536" s="1"/>
      <c r="E536" s="1"/>
      <c r="F536" s="1"/>
    </row>
    <row r="537" spans="1:6" ht="15.75" customHeight="1" x14ac:dyDescent="0.25">
      <c r="A537" s="1"/>
      <c r="B537" s="1"/>
      <c r="C537" s="1"/>
      <c r="D537" s="1"/>
      <c r="E537" s="1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"/>
      <c r="F539" s="1"/>
    </row>
    <row r="540" spans="1:6" ht="15.75" customHeight="1" x14ac:dyDescent="0.25">
      <c r="A540" s="1"/>
      <c r="B540" s="1"/>
      <c r="C540" s="1"/>
      <c r="D540" s="1"/>
      <c r="E540" s="1"/>
      <c r="F540" s="1"/>
    </row>
    <row r="541" spans="1:6" ht="15.75" customHeight="1" x14ac:dyDescent="0.25">
      <c r="A541" s="1"/>
      <c r="B541" s="1"/>
      <c r="C541" s="1"/>
      <c r="D541" s="1"/>
      <c r="E541" s="1"/>
      <c r="F541" s="1"/>
    </row>
    <row r="542" spans="1:6" ht="15.75" customHeight="1" x14ac:dyDescent="0.25">
      <c r="A542" s="1"/>
      <c r="B542" s="1"/>
      <c r="C542" s="1"/>
      <c r="D542" s="1"/>
      <c r="E542" s="1"/>
      <c r="F542" s="1"/>
    </row>
    <row r="543" spans="1:6" ht="15.75" customHeight="1" x14ac:dyDescent="0.25">
      <c r="A543" s="1"/>
      <c r="B543" s="1"/>
      <c r="C543" s="1"/>
      <c r="D543" s="1"/>
      <c r="E543" s="1"/>
      <c r="F543" s="1"/>
    </row>
    <row r="544" spans="1:6" ht="15.75" customHeight="1" x14ac:dyDescent="0.25">
      <c r="A544" s="1"/>
      <c r="B544" s="1"/>
      <c r="C544" s="1"/>
      <c r="D544" s="1"/>
      <c r="E544" s="1"/>
      <c r="F544" s="1"/>
    </row>
    <row r="545" spans="1:6" ht="15.75" customHeight="1" x14ac:dyDescent="0.25">
      <c r="A545" s="1"/>
      <c r="B545" s="1"/>
      <c r="C545" s="1"/>
      <c r="D545" s="1"/>
      <c r="E545" s="1"/>
      <c r="F545" s="1"/>
    </row>
    <row r="546" spans="1:6" ht="15.75" customHeight="1" x14ac:dyDescent="0.25">
      <c r="A546" s="1"/>
      <c r="B546" s="1"/>
      <c r="C546" s="1"/>
      <c r="D546" s="1"/>
      <c r="E546" s="1"/>
      <c r="F546" s="1"/>
    </row>
    <row r="547" spans="1:6" ht="15.75" customHeight="1" x14ac:dyDescent="0.25">
      <c r="A547" s="1"/>
      <c r="B547" s="1"/>
      <c r="C547" s="1"/>
      <c r="D547" s="1"/>
      <c r="E547" s="1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"/>
      <c r="F549" s="1"/>
    </row>
    <row r="550" spans="1:6" ht="15.75" customHeight="1" x14ac:dyDescent="0.25">
      <c r="A550" s="1"/>
      <c r="B550" s="1"/>
      <c r="C550" s="1"/>
      <c r="D550" s="1"/>
      <c r="E550" s="1"/>
      <c r="F550" s="1"/>
    </row>
    <row r="551" spans="1:6" ht="15.75" customHeight="1" x14ac:dyDescent="0.25">
      <c r="A551" s="1"/>
      <c r="B551" s="1"/>
      <c r="C551" s="1"/>
      <c r="D551" s="1"/>
      <c r="E551" s="1"/>
      <c r="F551" s="1"/>
    </row>
    <row r="552" spans="1:6" ht="15.75" customHeight="1" x14ac:dyDescent="0.25">
      <c r="A552" s="1"/>
      <c r="B552" s="1"/>
      <c r="C552" s="1"/>
      <c r="D552" s="1"/>
      <c r="E552" s="1"/>
      <c r="F552" s="1"/>
    </row>
    <row r="553" spans="1:6" ht="15.75" customHeight="1" x14ac:dyDescent="0.25">
      <c r="A553" s="1"/>
      <c r="B553" s="1"/>
      <c r="C553" s="1"/>
      <c r="D553" s="1"/>
      <c r="E553" s="1"/>
      <c r="F553" s="1"/>
    </row>
    <row r="554" spans="1:6" ht="15.75" customHeight="1" x14ac:dyDescent="0.25">
      <c r="A554" s="1"/>
      <c r="B554" s="1"/>
      <c r="C554" s="1"/>
      <c r="D554" s="1"/>
      <c r="E554" s="1"/>
      <c r="F554" s="1"/>
    </row>
    <row r="555" spans="1:6" ht="15.75" customHeight="1" x14ac:dyDescent="0.25">
      <c r="A555" s="1"/>
      <c r="B555" s="1"/>
      <c r="C555" s="1"/>
      <c r="D555" s="1"/>
      <c r="E555" s="1"/>
      <c r="F555" s="1"/>
    </row>
    <row r="556" spans="1:6" ht="15.75" customHeight="1" x14ac:dyDescent="0.25">
      <c r="A556" s="1"/>
      <c r="B556" s="1"/>
      <c r="C556" s="1"/>
      <c r="D556" s="1"/>
      <c r="E556" s="1"/>
      <c r="F556" s="1"/>
    </row>
    <row r="557" spans="1:6" ht="15.75" customHeight="1" x14ac:dyDescent="0.25">
      <c r="A557" s="1"/>
      <c r="B557" s="1"/>
      <c r="C557" s="1"/>
      <c r="D557" s="1"/>
      <c r="E557" s="1"/>
      <c r="F557" s="1"/>
    </row>
    <row r="558" spans="1:6" ht="15.75" customHeight="1" x14ac:dyDescent="0.25">
      <c r="A558" s="1"/>
      <c r="B558" s="1"/>
      <c r="C558" s="1"/>
      <c r="D558" s="1"/>
      <c r="E558" s="1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1"/>
      <c r="F560" s="1"/>
    </row>
    <row r="561" spans="1:6" ht="15.75" customHeight="1" x14ac:dyDescent="0.25">
      <c r="A561" s="1"/>
      <c r="B561" s="1"/>
      <c r="C561" s="1"/>
      <c r="D561" s="1"/>
      <c r="E561" s="1"/>
      <c r="F561" s="1"/>
    </row>
    <row r="562" spans="1:6" ht="15.75" customHeight="1" x14ac:dyDescent="0.25">
      <c r="A562" s="1"/>
      <c r="B562" s="1"/>
      <c r="C562" s="1"/>
      <c r="D562" s="1"/>
      <c r="E562" s="1"/>
      <c r="F562" s="1"/>
    </row>
    <row r="563" spans="1:6" ht="15.75" customHeight="1" x14ac:dyDescent="0.25">
      <c r="A563" s="1"/>
      <c r="B563" s="1"/>
      <c r="C563" s="1"/>
      <c r="D563" s="1"/>
      <c r="E563" s="1"/>
      <c r="F563" s="1"/>
    </row>
    <row r="564" spans="1:6" ht="15.75" customHeight="1" x14ac:dyDescent="0.25">
      <c r="A564" s="1"/>
      <c r="B564" s="1"/>
      <c r="C564" s="1"/>
      <c r="D564" s="1"/>
      <c r="E564" s="1"/>
      <c r="F564" s="1"/>
    </row>
    <row r="565" spans="1:6" ht="15.75" customHeight="1" x14ac:dyDescent="0.25">
      <c r="A565" s="1"/>
      <c r="B565" s="1"/>
      <c r="C565" s="1"/>
      <c r="D565" s="1"/>
      <c r="E565" s="1"/>
      <c r="F565" s="1"/>
    </row>
    <row r="566" spans="1:6" ht="15.75" customHeight="1" x14ac:dyDescent="0.25">
      <c r="A566" s="1"/>
      <c r="B566" s="1"/>
      <c r="C566" s="1"/>
      <c r="D566" s="1"/>
      <c r="E566" s="1"/>
      <c r="F566" s="1"/>
    </row>
    <row r="567" spans="1:6" ht="15.75" customHeight="1" x14ac:dyDescent="0.25">
      <c r="A567" s="1"/>
      <c r="B567" s="1"/>
      <c r="C567" s="1"/>
      <c r="D567" s="1"/>
      <c r="E567" s="1"/>
      <c r="F567" s="1"/>
    </row>
    <row r="568" spans="1:6" ht="15.75" customHeight="1" x14ac:dyDescent="0.25">
      <c r="A568" s="1"/>
      <c r="B568" s="1"/>
      <c r="C568" s="1"/>
      <c r="D568" s="1"/>
      <c r="E568" s="1"/>
      <c r="F568" s="1"/>
    </row>
    <row r="569" spans="1:6" ht="15.75" customHeight="1" x14ac:dyDescent="0.25">
      <c r="A569" s="1"/>
      <c r="B569" s="1"/>
      <c r="C569" s="1"/>
      <c r="D569" s="1"/>
      <c r="E569" s="1"/>
      <c r="F569" s="1"/>
    </row>
    <row r="570" spans="1:6" ht="15.75" customHeight="1" x14ac:dyDescent="0.25">
      <c r="A570" s="1"/>
      <c r="B570" s="1"/>
      <c r="C570" s="1"/>
      <c r="D570" s="1"/>
      <c r="E570" s="1"/>
      <c r="F570" s="1"/>
    </row>
    <row r="571" spans="1:6" ht="15.75" customHeight="1" x14ac:dyDescent="0.25">
      <c r="A571" s="1"/>
      <c r="B571" s="1"/>
      <c r="C571" s="1"/>
      <c r="D571" s="1"/>
      <c r="E571" s="1"/>
      <c r="F571" s="1"/>
    </row>
    <row r="572" spans="1:6" ht="15.75" customHeight="1" x14ac:dyDescent="0.25">
      <c r="A572" s="1"/>
      <c r="B572" s="1"/>
      <c r="C572" s="1"/>
      <c r="D572" s="1"/>
      <c r="E572" s="1"/>
      <c r="F572" s="1"/>
    </row>
    <row r="573" spans="1:6" ht="15.75" customHeight="1" x14ac:dyDescent="0.25">
      <c r="A573" s="1"/>
      <c r="B573" s="1"/>
      <c r="C573" s="1"/>
      <c r="D573" s="1"/>
      <c r="E573" s="1"/>
      <c r="F573" s="1"/>
    </row>
    <row r="574" spans="1:6" ht="15.75" customHeight="1" x14ac:dyDescent="0.25">
      <c r="A574" s="1"/>
      <c r="B574" s="1"/>
      <c r="C574" s="1"/>
      <c r="D574" s="1"/>
      <c r="E574" s="1"/>
      <c r="F574" s="1"/>
    </row>
    <row r="575" spans="1:6" ht="15.75" customHeight="1" x14ac:dyDescent="0.25">
      <c r="A575" s="1"/>
      <c r="B575" s="1"/>
      <c r="C575" s="1"/>
      <c r="D575" s="1"/>
      <c r="E575" s="1"/>
      <c r="F575" s="1"/>
    </row>
    <row r="576" spans="1:6" ht="15.75" customHeight="1" x14ac:dyDescent="0.25">
      <c r="A576" s="1"/>
      <c r="B576" s="1"/>
      <c r="C576" s="1"/>
      <c r="D576" s="1"/>
      <c r="E576" s="1"/>
      <c r="F576" s="1"/>
    </row>
    <row r="577" spans="1:6" ht="15.75" customHeight="1" x14ac:dyDescent="0.25">
      <c r="A577" s="1"/>
      <c r="B577" s="1"/>
      <c r="C577" s="1"/>
      <c r="D577" s="1"/>
      <c r="E577" s="1"/>
      <c r="F577" s="1"/>
    </row>
    <row r="578" spans="1:6" ht="15.75" customHeight="1" x14ac:dyDescent="0.25">
      <c r="A578" s="1"/>
      <c r="B578" s="1"/>
      <c r="C578" s="1"/>
      <c r="D578" s="1"/>
      <c r="E578" s="1"/>
      <c r="F578" s="1"/>
    </row>
    <row r="579" spans="1:6" ht="15.75" customHeight="1" x14ac:dyDescent="0.25">
      <c r="A579" s="1"/>
      <c r="B579" s="1"/>
      <c r="C579" s="1"/>
      <c r="D579" s="1"/>
      <c r="E579" s="1"/>
      <c r="F579" s="1"/>
    </row>
    <row r="580" spans="1:6" ht="15.75" customHeight="1" x14ac:dyDescent="0.25">
      <c r="A580" s="1"/>
      <c r="B580" s="1"/>
      <c r="C580" s="1"/>
      <c r="D580" s="1"/>
      <c r="E580" s="1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"/>
      <c r="F582" s="1"/>
    </row>
    <row r="583" spans="1:6" ht="15.75" customHeight="1" x14ac:dyDescent="0.25">
      <c r="A583" s="1"/>
      <c r="B583" s="1"/>
      <c r="C583" s="1"/>
      <c r="D583" s="1"/>
      <c r="E583" s="1"/>
      <c r="F583" s="1"/>
    </row>
    <row r="584" spans="1:6" ht="15.75" customHeight="1" x14ac:dyDescent="0.25">
      <c r="A584" s="1"/>
      <c r="B584" s="1"/>
      <c r="C584" s="1"/>
      <c r="D584" s="1"/>
      <c r="E584" s="1"/>
      <c r="F584" s="1"/>
    </row>
    <row r="585" spans="1:6" ht="15.75" customHeight="1" x14ac:dyDescent="0.25">
      <c r="A585" s="1"/>
      <c r="B585" s="1"/>
      <c r="C585" s="1"/>
      <c r="D585" s="1"/>
      <c r="E585" s="1"/>
      <c r="F585" s="1"/>
    </row>
    <row r="586" spans="1:6" ht="15.75" customHeight="1" x14ac:dyDescent="0.25">
      <c r="A586" s="1"/>
      <c r="B586" s="1"/>
      <c r="C586" s="1"/>
      <c r="D586" s="1"/>
      <c r="E586" s="1"/>
      <c r="F586" s="1"/>
    </row>
    <row r="587" spans="1:6" ht="15.75" customHeight="1" x14ac:dyDescent="0.25">
      <c r="A587" s="1"/>
      <c r="B587" s="1"/>
      <c r="C587" s="1"/>
      <c r="D587" s="1"/>
      <c r="E587" s="1"/>
      <c r="F587" s="1"/>
    </row>
    <row r="588" spans="1:6" ht="15.75" customHeight="1" x14ac:dyDescent="0.25">
      <c r="A588" s="1"/>
      <c r="B588" s="1"/>
      <c r="C588" s="1"/>
      <c r="D588" s="1"/>
      <c r="E588" s="1"/>
      <c r="F588" s="1"/>
    </row>
    <row r="589" spans="1:6" ht="15.75" customHeight="1" x14ac:dyDescent="0.25">
      <c r="A589" s="1"/>
      <c r="B589" s="1"/>
      <c r="C589" s="1"/>
      <c r="D589" s="1"/>
      <c r="E589" s="1"/>
      <c r="F589" s="1"/>
    </row>
    <row r="590" spans="1:6" ht="15.75" customHeight="1" x14ac:dyDescent="0.25">
      <c r="A590" s="1"/>
      <c r="B590" s="1"/>
      <c r="C590" s="1"/>
      <c r="D590" s="1"/>
      <c r="E590" s="1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"/>
      <c r="F592" s="1"/>
    </row>
    <row r="593" spans="1:6" ht="15.75" customHeight="1" x14ac:dyDescent="0.25">
      <c r="A593" s="1"/>
      <c r="B593" s="1"/>
      <c r="C593" s="1"/>
      <c r="D593" s="1"/>
      <c r="E593" s="1"/>
      <c r="F593" s="1"/>
    </row>
    <row r="594" spans="1:6" ht="15.75" customHeight="1" x14ac:dyDescent="0.25">
      <c r="A594" s="1"/>
      <c r="B594" s="1"/>
      <c r="C594" s="1"/>
      <c r="D594" s="1"/>
      <c r="E594" s="1"/>
      <c r="F594" s="1"/>
    </row>
    <row r="595" spans="1:6" ht="15.75" customHeight="1" x14ac:dyDescent="0.25">
      <c r="A595" s="1"/>
      <c r="B595" s="1"/>
      <c r="C595" s="1"/>
      <c r="D595" s="1"/>
      <c r="E595" s="1"/>
      <c r="F595" s="1"/>
    </row>
    <row r="596" spans="1:6" ht="15.75" customHeight="1" x14ac:dyDescent="0.25">
      <c r="A596" s="1"/>
      <c r="B596" s="1"/>
      <c r="C596" s="1"/>
      <c r="D596" s="1"/>
      <c r="E596" s="1"/>
      <c r="F596" s="1"/>
    </row>
    <row r="597" spans="1:6" ht="15.75" customHeight="1" x14ac:dyDescent="0.25">
      <c r="A597" s="1"/>
      <c r="B597" s="1"/>
      <c r="C597" s="1"/>
      <c r="D597" s="1"/>
      <c r="E597" s="1"/>
      <c r="F597" s="1"/>
    </row>
    <row r="598" spans="1:6" ht="15.75" customHeight="1" x14ac:dyDescent="0.25">
      <c r="A598" s="1"/>
      <c r="B598" s="1"/>
      <c r="C598" s="1"/>
      <c r="D598" s="1"/>
      <c r="E598" s="1"/>
      <c r="F598" s="1"/>
    </row>
    <row r="599" spans="1:6" ht="15.75" customHeight="1" x14ac:dyDescent="0.25">
      <c r="A599" s="1"/>
      <c r="B599" s="1"/>
      <c r="C599" s="1"/>
      <c r="D599" s="1"/>
      <c r="E599" s="1"/>
      <c r="F599" s="1"/>
    </row>
    <row r="600" spans="1:6" ht="15.75" customHeight="1" x14ac:dyDescent="0.25">
      <c r="A600" s="1"/>
      <c r="B600" s="1"/>
      <c r="C600" s="1"/>
      <c r="D600" s="1"/>
      <c r="E600" s="1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"/>
      <c r="F602" s="1"/>
    </row>
    <row r="603" spans="1:6" ht="15.75" customHeight="1" x14ac:dyDescent="0.25">
      <c r="A603" s="1"/>
      <c r="B603" s="1"/>
      <c r="C603" s="1"/>
      <c r="D603" s="1"/>
      <c r="E603" s="1"/>
      <c r="F603" s="1"/>
    </row>
    <row r="604" spans="1:6" ht="15.75" customHeight="1" x14ac:dyDescent="0.25">
      <c r="A604" s="1"/>
      <c r="B604" s="1"/>
      <c r="C604" s="1"/>
      <c r="D604" s="1"/>
      <c r="E604" s="1"/>
      <c r="F604" s="1"/>
    </row>
    <row r="605" spans="1:6" ht="15.75" customHeight="1" x14ac:dyDescent="0.25">
      <c r="A605" s="1"/>
      <c r="B605" s="1"/>
      <c r="C605" s="1"/>
      <c r="D605" s="1"/>
      <c r="E605" s="1"/>
      <c r="F605" s="1"/>
    </row>
    <row r="606" spans="1:6" ht="15.75" customHeight="1" x14ac:dyDescent="0.25">
      <c r="A606" s="1"/>
      <c r="B606" s="1"/>
      <c r="C606" s="1"/>
      <c r="D606" s="1"/>
      <c r="E606" s="1"/>
      <c r="F606" s="1"/>
    </row>
    <row r="607" spans="1:6" ht="15.75" customHeight="1" x14ac:dyDescent="0.25">
      <c r="A607" s="1"/>
      <c r="B607" s="1"/>
      <c r="C607" s="1"/>
      <c r="D607" s="1"/>
      <c r="E607" s="1"/>
      <c r="F607" s="1"/>
    </row>
    <row r="608" spans="1:6" ht="15.75" customHeight="1" x14ac:dyDescent="0.25">
      <c r="A608" s="1"/>
      <c r="B608" s="1"/>
      <c r="C608" s="1"/>
      <c r="D608" s="1"/>
      <c r="E608" s="1"/>
      <c r="F608" s="1"/>
    </row>
    <row r="609" spans="1:6" ht="15.75" customHeight="1" x14ac:dyDescent="0.25">
      <c r="A609" s="1"/>
      <c r="B609" s="1"/>
      <c r="C609" s="1"/>
      <c r="D609" s="1"/>
      <c r="E609" s="1"/>
      <c r="F609" s="1"/>
    </row>
    <row r="610" spans="1:6" ht="15.75" customHeight="1" x14ac:dyDescent="0.25">
      <c r="A610" s="1"/>
      <c r="B610" s="1"/>
      <c r="C610" s="1"/>
      <c r="D610" s="1"/>
      <c r="E610" s="1"/>
      <c r="F610" s="1"/>
    </row>
    <row r="611" spans="1:6" ht="15.75" customHeight="1" x14ac:dyDescent="0.25">
      <c r="A611" s="1"/>
      <c r="B611" s="1"/>
      <c r="C611" s="1"/>
      <c r="D611" s="1"/>
      <c r="E611" s="1"/>
      <c r="F611" s="1"/>
    </row>
    <row r="612" spans="1:6" ht="15.75" customHeight="1" x14ac:dyDescent="0.25">
      <c r="A612" s="1"/>
      <c r="B612" s="1"/>
      <c r="C612" s="1"/>
      <c r="D612" s="1"/>
      <c r="E612" s="1"/>
      <c r="F612" s="1"/>
    </row>
    <row r="613" spans="1:6" ht="15.75" customHeight="1" x14ac:dyDescent="0.25">
      <c r="A613" s="1"/>
      <c r="B613" s="1"/>
      <c r="C613" s="1"/>
      <c r="D613" s="1"/>
      <c r="E613" s="1"/>
      <c r="F613" s="1"/>
    </row>
    <row r="614" spans="1:6" ht="15.75" customHeight="1" x14ac:dyDescent="0.25">
      <c r="A614" s="1"/>
      <c r="B614" s="1"/>
      <c r="C614" s="1"/>
      <c r="D614" s="1"/>
      <c r="E614" s="1"/>
      <c r="F614" s="1"/>
    </row>
    <row r="615" spans="1:6" ht="15.75" customHeight="1" x14ac:dyDescent="0.25">
      <c r="A615" s="1"/>
      <c r="B615" s="1"/>
      <c r="C615" s="1"/>
      <c r="D615" s="1"/>
      <c r="E615" s="1"/>
      <c r="F615" s="1"/>
    </row>
    <row r="616" spans="1:6" ht="15.75" customHeight="1" x14ac:dyDescent="0.25">
      <c r="A616" s="1"/>
      <c r="B616" s="1"/>
      <c r="C616" s="1"/>
      <c r="D616" s="1"/>
      <c r="E616" s="1"/>
      <c r="F616" s="1"/>
    </row>
    <row r="617" spans="1:6" ht="15.75" customHeight="1" x14ac:dyDescent="0.25">
      <c r="A617" s="1"/>
      <c r="B617" s="1"/>
      <c r="C617" s="1"/>
      <c r="D617" s="1"/>
      <c r="E617" s="1"/>
      <c r="F617" s="1"/>
    </row>
    <row r="618" spans="1:6" ht="15.75" customHeight="1" x14ac:dyDescent="0.25">
      <c r="A618" s="1"/>
      <c r="B618" s="1"/>
      <c r="C618" s="1"/>
      <c r="D618" s="1"/>
      <c r="E618" s="1"/>
      <c r="F618" s="1"/>
    </row>
    <row r="619" spans="1:6" ht="15.75" customHeight="1" x14ac:dyDescent="0.25">
      <c r="A619" s="1"/>
      <c r="B619" s="1"/>
      <c r="C619" s="1"/>
      <c r="D619" s="1"/>
      <c r="E619" s="1"/>
      <c r="F619" s="1"/>
    </row>
    <row r="620" spans="1:6" ht="15.75" customHeight="1" x14ac:dyDescent="0.25">
      <c r="A620" s="1"/>
      <c r="B620" s="1"/>
      <c r="C620" s="1"/>
      <c r="D620" s="1"/>
      <c r="E620" s="1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"/>
      <c r="F622" s="1"/>
    </row>
    <row r="623" spans="1:6" ht="15.75" customHeight="1" x14ac:dyDescent="0.25">
      <c r="A623" s="1"/>
      <c r="B623" s="1"/>
      <c r="C623" s="1"/>
      <c r="D623" s="1"/>
      <c r="E623" s="1"/>
      <c r="F623" s="1"/>
    </row>
    <row r="624" spans="1:6" ht="15.75" customHeight="1" x14ac:dyDescent="0.25">
      <c r="A624" s="1"/>
      <c r="B624" s="1"/>
      <c r="C624" s="1"/>
      <c r="D624" s="1"/>
      <c r="E624" s="1"/>
      <c r="F624" s="1"/>
    </row>
    <row r="625" spans="1:6" ht="15.75" customHeight="1" x14ac:dyDescent="0.25">
      <c r="A625" s="1"/>
      <c r="B625" s="1"/>
      <c r="C625" s="1"/>
      <c r="D625" s="1"/>
      <c r="E625" s="1"/>
      <c r="F625" s="1"/>
    </row>
    <row r="626" spans="1:6" ht="15.75" customHeight="1" x14ac:dyDescent="0.25">
      <c r="A626" s="1"/>
      <c r="B626" s="1"/>
      <c r="C626" s="1"/>
      <c r="D626" s="1"/>
      <c r="E626" s="1"/>
      <c r="F626" s="1"/>
    </row>
    <row r="627" spans="1:6" ht="15.75" customHeight="1" x14ac:dyDescent="0.25">
      <c r="A627" s="1"/>
      <c r="B627" s="1"/>
      <c r="C627" s="1"/>
      <c r="D627" s="1"/>
      <c r="E627" s="1"/>
      <c r="F627" s="1"/>
    </row>
    <row r="628" spans="1:6" ht="15.75" customHeight="1" x14ac:dyDescent="0.25">
      <c r="A628" s="1"/>
      <c r="B628" s="1"/>
      <c r="C628" s="1"/>
      <c r="D628" s="1"/>
      <c r="E628" s="1"/>
      <c r="F628" s="1"/>
    </row>
    <row r="629" spans="1:6" ht="15.75" customHeight="1" x14ac:dyDescent="0.25">
      <c r="A629" s="1"/>
      <c r="B629" s="1"/>
      <c r="C629" s="1"/>
      <c r="D629" s="1"/>
      <c r="E629" s="1"/>
      <c r="F629" s="1"/>
    </row>
    <row r="630" spans="1:6" ht="15.75" customHeight="1" x14ac:dyDescent="0.25">
      <c r="A630" s="1"/>
      <c r="B630" s="1"/>
      <c r="C630" s="1"/>
      <c r="D630" s="1"/>
      <c r="E630" s="1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"/>
      <c r="F632" s="1"/>
    </row>
    <row r="633" spans="1:6" ht="15.75" customHeight="1" x14ac:dyDescent="0.25">
      <c r="A633" s="1"/>
      <c r="B633" s="1"/>
      <c r="C633" s="1"/>
      <c r="D633" s="1"/>
      <c r="E633" s="1"/>
      <c r="F633" s="1"/>
    </row>
    <row r="634" spans="1:6" ht="15.75" customHeight="1" x14ac:dyDescent="0.25">
      <c r="A634" s="1"/>
      <c r="B634" s="1"/>
      <c r="C634" s="1"/>
      <c r="D634" s="1"/>
      <c r="E634" s="1"/>
      <c r="F634" s="1"/>
    </row>
    <row r="635" spans="1:6" ht="15.75" customHeight="1" x14ac:dyDescent="0.25">
      <c r="A635" s="1"/>
      <c r="B635" s="1"/>
      <c r="C635" s="1"/>
      <c r="D635" s="1"/>
      <c r="E635" s="1"/>
      <c r="F635" s="1"/>
    </row>
    <row r="636" spans="1:6" ht="15.75" customHeight="1" x14ac:dyDescent="0.25">
      <c r="A636" s="1"/>
      <c r="B636" s="1"/>
      <c r="C636" s="1"/>
      <c r="D636" s="1"/>
      <c r="E636" s="1"/>
      <c r="F636" s="1"/>
    </row>
    <row r="637" spans="1:6" ht="15.75" customHeight="1" x14ac:dyDescent="0.25">
      <c r="A637" s="1"/>
      <c r="B637" s="1"/>
      <c r="C637" s="1"/>
      <c r="D637" s="1"/>
      <c r="E637" s="1"/>
      <c r="F637" s="1"/>
    </row>
    <row r="638" spans="1:6" ht="15.75" customHeight="1" x14ac:dyDescent="0.25">
      <c r="A638" s="1"/>
      <c r="B638" s="1"/>
      <c r="C638" s="1"/>
      <c r="D638" s="1"/>
      <c r="E638" s="1"/>
      <c r="F638" s="1"/>
    </row>
    <row r="639" spans="1:6" ht="15.75" customHeight="1" x14ac:dyDescent="0.25">
      <c r="A639" s="1"/>
      <c r="B639" s="1"/>
      <c r="C639" s="1"/>
      <c r="D639" s="1"/>
      <c r="E639" s="1"/>
      <c r="F639" s="1"/>
    </row>
    <row r="640" spans="1:6" ht="15.75" customHeight="1" x14ac:dyDescent="0.25">
      <c r="A640" s="1"/>
      <c r="B640" s="1"/>
      <c r="C640" s="1"/>
      <c r="D640" s="1"/>
      <c r="E640" s="1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"/>
      <c r="F642" s="1"/>
    </row>
    <row r="643" spans="1:6" ht="15.75" customHeight="1" x14ac:dyDescent="0.25">
      <c r="A643" s="1"/>
      <c r="B643" s="1"/>
      <c r="C643" s="1"/>
      <c r="D643" s="1"/>
      <c r="E643" s="1"/>
      <c r="F643" s="1"/>
    </row>
    <row r="644" spans="1:6" ht="15.75" customHeight="1" x14ac:dyDescent="0.25">
      <c r="A644" s="1"/>
      <c r="B644" s="1"/>
      <c r="C644" s="1"/>
      <c r="D644" s="1"/>
      <c r="E644" s="1"/>
      <c r="F644" s="1"/>
    </row>
    <row r="645" spans="1:6" ht="15.75" customHeight="1" x14ac:dyDescent="0.25">
      <c r="A645" s="1"/>
      <c r="B645" s="1"/>
      <c r="C645" s="1"/>
      <c r="D645" s="1"/>
      <c r="E645" s="1"/>
      <c r="F645" s="1"/>
    </row>
    <row r="646" spans="1:6" ht="15.75" customHeight="1" x14ac:dyDescent="0.25">
      <c r="A646" s="1"/>
      <c r="B646" s="1"/>
      <c r="C646" s="1"/>
      <c r="D646" s="1"/>
      <c r="E646" s="1"/>
      <c r="F646" s="1"/>
    </row>
    <row r="647" spans="1:6" ht="15.75" customHeight="1" x14ac:dyDescent="0.25">
      <c r="A647" s="1"/>
      <c r="B647" s="1"/>
      <c r="C647" s="1"/>
      <c r="D647" s="1"/>
      <c r="E647" s="1"/>
      <c r="F647" s="1"/>
    </row>
    <row r="648" spans="1:6" ht="15.75" customHeight="1" x14ac:dyDescent="0.25">
      <c r="A648" s="1"/>
      <c r="B648" s="1"/>
      <c r="C648" s="1"/>
      <c r="D648" s="1"/>
      <c r="E648" s="1"/>
      <c r="F648" s="1"/>
    </row>
    <row r="649" spans="1:6" ht="15.75" customHeight="1" x14ac:dyDescent="0.25">
      <c r="A649" s="1"/>
      <c r="B649" s="1"/>
      <c r="C649" s="1"/>
      <c r="D649" s="1"/>
      <c r="E649" s="1"/>
      <c r="F649" s="1"/>
    </row>
    <row r="650" spans="1:6" ht="15.75" customHeight="1" x14ac:dyDescent="0.25">
      <c r="A650" s="1"/>
      <c r="B650" s="1"/>
      <c r="C650" s="1"/>
      <c r="D650" s="1"/>
      <c r="E650" s="1"/>
      <c r="F650" s="1"/>
    </row>
    <row r="651" spans="1:6" ht="15.75" customHeight="1" x14ac:dyDescent="0.25">
      <c r="A651" s="1"/>
      <c r="B651" s="1"/>
      <c r="C651" s="1"/>
      <c r="D651" s="1"/>
      <c r="E651" s="1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1"/>
      <c r="F653" s="1"/>
    </row>
    <row r="654" spans="1:6" ht="15.75" customHeight="1" x14ac:dyDescent="0.25">
      <c r="A654" s="1"/>
      <c r="B654" s="1"/>
      <c r="C654" s="1"/>
      <c r="D654" s="1"/>
      <c r="E654" s="1"/>
      <c r="F654" s="1"/>
    </row>
    <row r="655" spans="1:6" ht="15.75" customHeight="1" x14ac:dyDescent="0.25">
      <c r="A655" s="1"/>
      <c r="B655" s="1"/>
      <c r="C655" s="1"/>
      <c r="D655" s="1"/>
      <c r="E655" s="1"/>
      <c r="F655" s="1"/>
    </row>
    <row r="656" spans="1:6" ht="15.75" customHeight="1" x14ac:dyDescent="0.25">
      <c r="A656" s="1"/>
      <c r="B656" s="1"/>
      <c r="C656" s="1"/>
      <c r="D656" s="1"/>
      <c r="E656" s="1"/>
      <c r="F656" s="1"/>
    </row>
    <row r="657" spans="1:6" ht="15.75" customHeight="1" x14ac:dyDescent="0.25">
      <c r="A657" s="1"/>
      <c r="B657" s="1"/>
      <c r="C657" s="1"/>
      <c r="D657" s="1"/>
      <c r="E657" s="1"/>
      <c r="F657" s="1"/>
    </row>
    <row r="658" spans="1:6" ht="15.75" customHeight="1" x14ac:dyDescent="0.25">
      <c r="A658" s="1"/>
      <c r="B658" s="1"/>
      <c r="C658" s="1"/>
      <c r="D658" s="1"/>
      <c r="E658" s="1"/>
      <c r="F658" s="1"/>
    </row>
    <row r="659" spans="1:6" ht="15.75" customHeight="1" x14ac:dyDescent="0.25">
      <c r="A659" s="1"/>
      <c r="B659" s="1"/>
      <c r="C659" s="1"/>
      <c r="D659" s="1"/>
      <c r="E659" s="1"/>
      <c r="F659" s="1"/>
    </row>
    <row r="660" spans="1:6" ht="15.75" customHeight="1" x14ac:dyDescent="0.25">
      <c r="A660" s="1"/>
      <c r="B660" s="1"/>
      <c r="C660" s="1"/>
      <c r="D660" s="1"/>
      <c r="E660" s="1"/>
      <c r="F660" s="1"/>
    </row>
    <row r="661" spans="1:6" ht="15.75" customHeight="1" x14ac:dyDescent="0.25">
      <c r="A661" s="1"/>
      <c r="B661" s="1"/>
      <c r="C661" s="1"/>
      <c r="D661" s="1"/>
      <c r="E661" s="1"/>
      <c r="F661" s="1"/>
    </row>
    <row r="662" spans="1:6" ht="15.75" customHeight="1" x14ac:dyDescent="0.25">
      <c r="A662" s="1"/>
      <c r="B662" s="1"/>
      <c r="C662" s="1"/>
      <c r="D662" s="1"/>
      <c r="E662" s="1"/>
      <c r="F662" s="1"/>
    </row>
    <row r="663" spans="1:6" ht="15.75" customHeight="1" x14ac:dyDescent="0.25">
      <c r="A663" s="1"/>
      <c r="B663" s="1"/>
      <c r="C663" s="1"/>
      <c r="D663" s="1"/>
      <c r="E663" s="1"/>
      <c r="F663" s="1"/>
    </row>
    <row r="664" spans="1:6" ht="15.75" customHeight="1" x14ac:dyDescent="0.25">
      <c r="A664" s="1"/>
      <c r="B664" s="1"/>
      <c r="C664" s="1"/>
      <c r="D664" s="1"/>
      <c r="E664" s="1"/>
      <c r="F664" s="1"/>
    </row>
    <row r="665" spans="1:6" ht="15.75" customHeight="1" x14ac:dyDescent="0.25">
      <c r="A665" s="1"/>
      <c r="B665" s="1"/>
      <c r="C665" s="1"/>
      <c r="D665" s="1"/>
      <c r="E665" s="1"/>
      <c r="F665" s="1"/>
    </row>
    <row r="666" spans="1:6" ht="15.75" customHeight="1" x14ac:dyDescent="0.25">
      <c r="A666" s="1"/>
      <c r="B666" s="1"/>
      <c r="C666" s="1"/>
      <c r="D666" s="1"/>
      <c r="E666" s="1"/>
      <c r="F666" s="1"/>
    </row>
    <row r="667" spans="1:6" ht="15.75" customHeight="1" x14ac:dyDescent="0.25">
      <c r="A667" s="1"/>
      <c r="B667" s="1"/>
      <c r="C667" s="1"/>
      <c r="D667" s="1"/>
      <c r="E667" s="1"/>
      <c r="F667" s="1"/>
    </row>
    <row r="668" spans="1:6" ht="15.75" customHeight="1" x14ac:dyDescent="0.25">
      <c r="A668" s="1"/>
      <c r="B668" s="1"/>
      <c r="C668" s="1"/>
      <c r="D668" s="1"/>
      <c r="E668" s="1"/>
      <c r="F668" s="1"/>
    </row>
    <row r="669" spans="1:6" ht="15.75" customHeight="1" x14ac:dyDescent="0.25">
      <c r="A669" s="1"/>
      <c r="B669" s="1"/>
      <c r="C669" s="1"/>
      <c r="D669" s="1"/>
      <c r="E669" s="1"/>
      <c r="F669" s="1"/>
    </row>
    <row r="670" spans="1:6" ht="15.75" customHeight="1" x14ac:dyDescent="0.25">
      <c r="A670" s="1"/>
      <c r="B670" s="1"/>
      <c r="C670" s="1"/>
      <c r="D670" s="1"/>
      <c r="E670" s="1"/>
      <c r="F670" s="1"/>
    </row>
    <row r="671" spans="1:6" ht="15.75" customHeight="1" x14ac:dyDescent="0.25">
      <c r="A671" s="1"/>
      <c r="B671" s="1"/>
      <c r="C671" s="1"/>
      <c r="D671" s="1"/>
      <c r="E671" s="1"/>
      <c r="F671" s="1"/>
    </row>
    <row r="672" spans="1:6" ht="15.75" customHeight="1" x14ac:dyDescent="0.25">
      <c r="A672" s="1"/>
      <c r="B672" s="1"/>
      <c r="C672" s="1"/>
      <c r="D672" s="1"/>
      <c r="E672" s="1"/>
      <c r="F672" s="1"/>
    </row>
    <row r="673" spans="1:6" ht="15.75" customHeight="1" x14ac:dyDescent="0.25">
      <c r="A673" s="1"/>
      <c r="B673" s="1"/>
      <c r="C673" s="1"/>
      <c r="D673" s="1"/>
      <c r="E673" s="1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"/>
      <c r="F675" s="1"/>
    </row>
    <row r="676" spans="1:6" ht="15.75" customHeight="1" x14ac:dyDescent="0.25">
      <c r="A676" s="1"/>
      <c r="B676" s="1"/>
      <c r="C676" s="1"/>
      <c r="D676" s="1"/>
      <c r="E676" s="1"/>
      <c r="F676" s="1"/>
    </row>
    <row r="677" spans="1:6" ht="15.75" customHeight="1" x14ac:dyDescent="0.25">
      <c r="A677" s="1"/>
      <c r="B677" s="1"/>
      <c r="C677" s="1"/>
      <c r="D677" s="1"/>
      <c r="E677" s="1"/>
      <c r="F677" s="1"/>
    </row>
    <row r="678" spans="1:6" ht="15.75" customHeight="1" x14ac:dyDescent="0.25">
      <c r="A678" s="1"/>
      <c r="B678" s="1"/>
      <c r="C678" s="1"/>
      <c r="D678" s="1"/>
      <c r="E678" s="1"/>
      <c r="F678" s="1"/>
    </row>
    <row r="679" spans="1:6" ht="15.75" customHeight="1" x14ac:dyDescent="0.25">
      <c r="A679" s="1"/>
      <c r="B679" s="1"/>
      <c r="C679" s="1"/>
      <c r="D679" s="1"/>
      <c r="E679" s="1"/>
      <c r="F679" s="1"/>
    </row>
    <row r="680" spans="1:6" ht="15.75" customHeight="1" x14ac:dyDescent="0.25">
      <c r="A680" s="1"/>
      <c r="B680" s="1"/>
      <c r="C680" s="1"/>
      <c r="D680" s="1"/>
      <c r="E680" s="1"/>
      <c r="F680" s="1"/>
    </row>
    <row r="681" spans="1:6" ht="15.75" customHeight="1" x14ac:dyDescent="0.25">
      <c r="A681" s="1"/>
      <c r="B681" s="1"/>
      <c r="C681" s="1"/>
      <c r="D681" s="1"/>
      <c r="E681" s="1"/>
      <c r="F681" s="1"/>
    </row>
    <row r="682" spans="1:6" ht="15.75" customHeight="1" x14ac:dyDescent="0.25">
      <c r="A682" s="1"/>
      <c r="B682" s="1"/>
      <c r="C682" s="1"/>
      <c r="D682" s="1"/>
      <c r="E682" s="1"/>
      <c r="F682" s="1"/>
    </row>
    <row r="683" spans="1:6" ht="15.75" customHeight="1" x14ac:dyDescent="0.25">
      <c r="A683" s="1"/>
      <c r="B683" s="1"/>
      <c r="C683" s="1"/>
      <c r="D683" s="1"/>
      <c r="E683" s="1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"/>
      <c r="F685" s="1"/>
    </row>
    <row r="686" spans="1:6" ht="15.75" customHeight="1" x14ac:dyDescent="0.25">
      <c r="A686" s="1"/>
      <c r="B686" s="1"/>
      <c r="C686" s="1"/>
      <c r="D686" s="1"/>
      <c r="E686" s="1"/>
      <c r="F686" s="1"/>
    </row>
    <row r="687" spans="1:6" ht="15.75" customHeight="1" x14ac:dyDescent="0.25">
      <c r="A687" s="1"/>
      <c r="B687" s="1"/>
      <c r="C687" s="1"/>
      <c r="D687" s="1"/>
      <c r="E687" s="1"/>
      <c r="F687" s="1"/>
    </row>
    <row r="688" spans="1:6" ht="15.75" customHeight="1" x14ac:dyDescent="0.25">
      <c r="A688" s="1"/>
      <c r="B688" s="1"/>
      <c r="C688" s="1"/>
      <c r="D688" s="1"/>
      <c r="E688" s="1"/>
      <c r="F688" s="1"/>
    </row>
    <row r="689" spans="1:6" ht="15.75" customHeight="1" x14ac:dyDescent="0.25">
      <c r="A689" s="1"/>
      <c r="B689" s="1"/>
      <c r="C689" s="1"/>
      <c r="D689" s="1"/>
      <c r="E689" s="1"/>
      <c r="F689" s="1"/>
    </row>
    <row r="690" spans="1:6" ht="15.75" customHeight="1" x14ac:dyDescent="0.25">
      <c r="A690" s="1"/>
      <c r="B690" s="1"/>
      <c r="C690" s="1"/>
      <c r="D690" s="1"/>
      <c r="E690" s="1"/>
      <c r="F690" s="1"/>
    </row>
    <row r="691" spans="1:6" ht="15.75" customHeight="1" x14ac:dyDescent="0.25">
      <c r="A691" s="1"/>
      <c r="B691" s="1"/>
      <c r="C691" s="1"/>
      <c r="D691" s="1"/>
      <c r="E691" s="1"/>
      <c r="F691" s="1"/>
    </row>
    <row r="692" spans="1:6" ht="15.75" customHeight="1" x14ac:dyDescent="0.25">
      <c r="A692" s="1"/>
      <c r="B692" s="1"/>
      <c r="C692" s="1"/>
      <c r="D692" s="1"/>
      <c r="E692" s="1"/>
      <c r="F692" s="1"/>
    </row>
    <row r="693" spans="1:6" ht="15.75" customHeight="1" x14ac:dyDescent="0.25">
      <c r="A693" s="1"/>
      <c r="B693" s="1"/>
      <c r="C693" s="1"/>
      <c r="D693" s="1"/>
      <c r="E693" s="1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"/>
      <c r="F695" s="1"/>
    </row>
    <row r="696" spans="1:6" ht="15.75" customHeight="1" x14ac:dyDescent="0.25">
      <c r="A696" s="1"/>
      <c r="B696" s="1"/>
      <c r="C696" s="1"/>
      <c r="D696" s="1"/>
      <c r="E696" s="1"/>
      <c r="F696" s="1"/>
    </row>
    <row r="697" spans="1:6" ht="15.75" customHeight="1" x14ac:dyDescent="0.25">
      <c r="A697" s="1"/>
      <c r="B697" s="1"/>
      <c r="C697" s="1"/>
      <c r="D697" s="1"/>
      <c r="E697" s="1"/>
      <c r="F697" s="1"/>
    </row>
    <row r="698" spans="1:6" ht="15.75" customHeight="1" x14ac:dyDescent="0.25">
      <c r="A698" s="1"/>
      <c r="B698" s="1"/>
      <c r="C698" s="1"/>
      <c r="D698" s="1"/>
      <c r="E698" s="1"/>
      <c r="F698" s="1"/>
    </row>
    <row r="699" spans="1:6" ht="15.75" customHeight="1" x14ac:dyDescent="0.25">
      <c r="A699" s="1"/>
      <c r="B699" s="1"/>
      <c r="C699" s="1"/>
      <c r="D699" s="1"/>
      <c r="E699" s="1"/>
      <c r="F699" s="1"/>
    </row>
    <row r="700" spans="1:6" ht="15.75" customHeight="1" x14ac:dyDescent="0.25">
      <c r="A700" s="1"/>
      <c r="B700" s="1"/>
      <c r="C700" s="1"/>
      <c r="D700" s="1"/>
      <c r="E700" s="1"/>
      <c r="F700" s="1"/>
    </row>
    <row r="701" spans="1:6" ht="15.75" customHeight="1" x14ac:dyDescent="0.25">
      <c r="A701" s="1"/>
      <c r="B701" s="1"/>
      <c r="C701" s="1"/>
      <c r="D701" s="1"/>
      <c r="E701" s="1"/>
      <c r="F701" s="1"/>
    </row>
    <row r="702" spans="1:6" ht="15.75" customHeight="1" x14ac:dyDescent="0.25">
      <c r="A702" s="1"/>
      <c r="B702" s="1"/>
      <c r="C702" s="1"/>
      <c r="D702" s="1"/>
      <c r="E702" s="1"/>
      <c r="F702" s="1"/>
    </row>
    <row r="703" spans="1:6" ht="15.75" customHeight="1" x14ac:dyDescent="0.25">
      <c r="A703" s="1"/>
      <c r="B703" s="1"/>
      <c r="C703" s="1"/>
      <c r="D703" s="1"/>
      <c r="E703" s="1"/>
      <c r="F703" s="1"/>
    </row>
    <row r="704" spans="1:6" ht="15.75" customHeight="1" x14ac:dyDescent="0.25">
      <c r="A704" s="1"/>
      <c r="B704" s="1"/>
      <c r="C704" s="1"/>
      <c r="D704" s="1"/>
      <c r="E704" s="1"/>
      <c r="F704" s="1"/>
    </row>
    <row r="705" spans="1:6" ht="15.75" customHeight="1" x14ac:dyDescent="0.25">
      <c r="A705" s="1"/>
      <c r="B705" s="1"/>
      <c r="C705" s="1"/>
      <c r="D705" s="1"/>
      <c r="E705" s="1"/>
      <c r="F705" s="1"/>
    </row>
    <row r="706" spans="1:6" ht="15.75" customHeight="1" x14ac:dyDescent="0.25">
      <c r="A706" s="1"/>
      <c r="B706" s="1"/>
      <c r="C706" s="1"/>
      <c r="D706" s="1"/>
      <c r="E706" s="1"/>
      <c r="F706" s="1"/>
    </row>
    <row r="707" spans="1:6" ht="15.75" customHeight="1" x14ac:dyDescent="0.25">
      <c r="A707" s="1"/>
      <c r="B707" s="1"/>
      <c r="C707" s="1"/>
      <c r="D707" s="1"/>
      <c r="E707" s="1"/>
      <c r="F707" s="1"/>
    </row>
    <row r="708" spans="1:6" ht="15.75" customHeight="1" x14ac:dyDescent="0.25">
      <c r="A708" s="1"/>
      <c r="B708" s="1"/>
      <c r="C708" s="1"/>
      <c r="D708" s="1"/>
      <c r="E708" s="1"/>
      <c r="F708" s="1"/>
    </row>
    <row r="709" spans="1:6" ht="15.75" customHeight="1" x14ac:dyDescent="0.25">
      <c r="A709" s="1"/>
      <c r="B709" s="1"/>
      <c r="C709" s="1"/>
      <c r="D709" s="1"/>
      <c r="E709" s="1"/>
      <c r="F709" s="1"/>
    </row>
    <row r="710" spans="1:6" ht="15.75" customHeight="1" x14ac:dyDescent="0.25">
      <c r="A710" s="1"/>
      <c r="B710" s="1"/>
      <c r="C710" s="1"/>
      <c r="D710" s="1"/>
      <c r="E710" s="1"/>
      <c r="F710" s="1"/>
    </row>
    <row r="711" spans="1:6" ht="15.75" customHeight="1" x14ac:dyDescent="0.25">
      <c r="A711" s="1"/>
      <c r="B711" s="1"/>
      <c r="C711" s="1"/>
      <c r="D711" s="1"/>
      <c r="E711" s="1"/>
      <c r="F711" s="1"/>
    </row>
    <row r="712" spans="1:6" ht="15.75" customHeight="1" x14ac:dyDescent="0.25">
      <c r="A712" s="1"/>
      <c r="B712" s="1"/>
      <c r="C712" s="1"/>
      <c r="D712" s="1"/>
      <c r="E712" s="1"/>
      <c r="F712" s="1"/>
    </row>
    <row r="713" spans="1:6" ht="15.75" customHeight="1" x14ac:dyDescent="0.25">
      <c r="A713" s="1"/>
      <c r="B713" s="1"/>
      <c r="C713" s="1"/>
      <c r="D713" s="1"/>
      <c r="E713" s="1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"/>
      <c r="F715" s="1"/>
    </row>
    <row r="716" spans="1:6" ht="15.75" customHeight="1" x14ac:dyDescent="0.25">
      <c r="A716" s="1"/>
      <c r="B716" s="1"/>
      <c r="C716" s="1"/>
      <c r="D716" s="1"/>
      <c r="E716" s="1"/>
      <c r="F716" s="1"/>
    </row>
    <row r="717" spans="1:6" ht="15.75" customHeight="1" x14ac:dyDescent="0.25">
      <c r="A717" s="1"/>
      <c r="B717" s="1"/>
      <c r="C717" s="1"/>
      <c r="D717" s="1"/>
      <c r="E717" s="1"/>
      <c r="F717" s="1"/>
    </row>
    <row r="718" spans="1:6" ht="15.75" customHeight="1" x14ac:dyDescent="0.25">
      <c r="A718" s="1"/>
      <c r="B718" s="1"/>
      <c r="C718" s="1"/>
      <c r="D718" s="1"/>
      <c r="E718" s="1"/>
      <c r="F718" s="1"/>
    </row>
    <row r="719" spans="1:6" ht="15.75" customHeight="1" x14ac:dyDescent="0.25">
      <c r="A719" s="1"/>
      <c r="B719" s="1"/>
      <c r="C719" s="1"/>
      <c r="D719" s="1"/>
      <c r="E719" s="1"/>
      <c r="F719" s="1"/>
    </row>
    <row r="720" spans="1:6" ht="15.75" customHeight="1" x14ac:dyDescent="0.25">
      <c r="A720" s="1"/>
      <c r="B720" s="1"/>
      <c r="C720" s="1"/>
      <c r="D720" s="1"/>
      <c r="E720" s="1"/>
      <c r="F720" s="1"/>
    </row>
    <row r="721" spans="1:6" ht="15.75" customHeight="1" x14ac:dyDescent="0.25">
      <c r="A721" s="1"/>
      <c r="B721" s="1"/>
      <c r="C721" s="1"/>
      <c r="D721" s="1"/>
      <c r="E721" s="1"/>
      <c r="F721" s="1"/>
    </row>
    <row r="722" spans="1:6" ht="15.75" customHeight="1" x14ac:dyDescent="0.25">
      <c r="A722" s="1"/>
      <c r="B722" s="1"/>
      <c r="C722" s="1"/>
      <c r="D722" s="1"/>
      <c r="E722" s="1"/>
      <c r="F722" s="1"/>
    </row>
    <row r="723" spans="1:6" ht="15.75" customHeight="1" x14ac:dyDescent="0.25">
      <c r="A723" s="1"/>
      <c r="B723" s="1"/>
      <c r="C723" s="1"/>
      <c r="D723" s="1"/>
      <c r="E723" s="1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"/>
      <c r="F725" s="1"/>
    </row>
    <row r="726" spans="1:6" ht="15.75" customHeight="1" x14ac:dyDescent="0.25">
      <c r="A726" s="1"/>
      <c r="B726" s="1"/>
      <c r="C726" s="1"/>
      <c r="D726" s="1"/>
      <c r="E726" s="1"/>
      <c r="F726" s="1"/>
    </row>
    <row r="727" spans="1:6" ht="15.75" customHeight="1" x14ac:dyDescent="0.25">
      <c r="A727" s="1"/>
      <c r="B727" s="1"/>
      <c r="C727" s="1"/>
      <c r="D727" s="1"/>
      <c r="E727" s="1"/>
      <c r="F727" s="1"/>
    </row>
    <row r="728" spans="1:6" ht="15.75" customHeight="1" x14ac:dyDescent="0.25">
      <c r="A728" s="1"/>
      <c r="B728" s="1"/>
      <c r="C728" s="1"/>
      <c r="D728" s="1"/>
      <c r="E728" s="1"/>
      <c r="F728" s="1"/>
    </row>
    <row r="729" spans="1:6" ht="15.75" customHeight="1" x14ac:dyDescent="0.25">
      <c r="A729" s="1"/>
      <c r="B729" s="1"/>
      <c r="C729" s="1"/>
      <c r="D729" s="1"/>
      <c r="E729" s="1"/>
      <c r="F729" s="1"/>
    </row>
    <row r="730" spans="1:6" ht="15.75" customHeight="1" x14ac:dyDescent="0.25">
      <c r="A730" s="1"/>
      <c r="B730" s="1"/>
      <c r="C730" s="1"/>
      <c r="D730" s="1"/>
      <c r="E730" s="1"/>
      <c r="F730" s="1"/>
    </row>
    <row r="731" spans="1:6" ht="15.75" customHeight="1" x14ac:dyDescent="0.25">
      <c r="A731" s="1"/>
      <c r="B731" s="1"/>
      <c r="C731" s="1"/>
      <c r="D731" s="1"/>
      <c r="E731" s="1"/>
      <c r="F731" s="1"/>
    </row>
    <row r="732" spans="1:6" ht="15.75" customHeight="1" x14ac:dyDescent="0.25">
      <c r="A732" s="1"/>
      <c r="B732" s="1"/>
      <c r="C732" s="1"/>
      <c r="D732" s="1"/>
      <c r="E732" s="1"/>
      <c r="F732" s="1"/>
    </row>
    <row r="733" spans="1:6" ht="15.75" customHeight="1" x14ac:dyDescent="0.25">
      <c r="A733" s="1"/>
      <c r="B733" s="1"/>
      <c r="C733" s="1"/>
      <c r="D733" s="1"/>
      <c r="E733" s="1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"/>
      <c r="F735" s="1"/>
    </row>
    <row r="736" spans="1:6" ht="15.75" customHeight="1" x14ac:dyDescent="0.25">
      <c r="A736" s="1"/>
      <c r="B736" s="1"/>
      <c r="C736" s="1"/>
      <c r="D736" s="1"/>
      <c r="E736" s="1"/>
      <c r="F736" s="1"/>
    </row>
    <row r="737" spans="1:6" ht="15.75" customHeight="1" x14ac:dyDescent="0.25">
      <c r="A737" s="1"/>
      <c r="B737" s="1"/>
      <c r="C737" s="1"/>
      <c r="D737" s="1"/>
      <c r="E737" s="1"/>
      <c r="F737" s="1"/>
    </row>
    <row r="738" spans="1:6" ht="15.75" customHeight="1" x14ac:dyDescent="0.25">
      <c r="A738" s="1"/>
      <c r="B738" s="1"/>
      <c r="C738" s="1"/>
      <c r="D738" s="1"/>
      <c r="E738" s="1"/>
      <c r="F738" s="1"/>
    </row>
    <row r="739" spans="1:6" ht="15.75" customHeight="1" x14ac:dyDescent="0.25">
      <c r="A739" s="1"/>
      <c r="B739" s="1"/>
      <c r="C739" s="1"/>
      <c r="D739" s="1"/>
      <c r="E739" s="1"/>
      <c r="F739" s="1"/>
    </row>
    <row r="740" spans="1:6" ht="15.75" customHeight="1" x14ac:dyDescent="0.25">
      <c r="A740" s="1"/>
      <c r="B740" s="1"/>
      <c r="C740" s="1"/>
      <c r="D740" s="1"/>
      <c r="E740" s="1"/>
      <c r="F740" s="1"/>
    </row>
    <row r="741" spans="1:6" ht="15.75" customHeight="1" x14ac:dyDescent="0.25">
      <c r="A741" s="1"/>
      <c r="B741" s="1"/>
      <c r="C741" s="1"/>
      <c r="D741" s="1"/>
      <c r="E741" s="1"/>
      <c r="F741" s="1"/>
    </row>
    <row r="742" spans="1:6" ht="15.75" customHeight="1" x14ac:dyDescent="0.25">
      <c r="A742" s="1"/>
      <c r="B742" s="1"/>
      <c r="C742" s="1"/>
      <c r="D742" s="1"/>
      <c r="E742" s="1"/>
      <c r="F742" s="1"/>
    </row>
    <row r="743" spans="1:6" ht="15.75" customHeight="1" x14ac:dyDescent="0.25">
      <c r="A743" s="1"/>
      <c r="B743" s="1"/>
      <c r="C743" s="1"/>
      <c r="D743" s="1"/>
      <c r="E743" s="1"/>
      <c r="F743" s="1"/>
    </row>
    <row r="744" spans="1:6" ht="15.75" customHeight="1" x14ac:dyDescent="0.25">
      <c r="A744" s="1"/>
      <c r="B744" s="1"/>
      <c r="C744" s="1"/>
      <c r="D744" s="1"/>
      <c r="E744" s="1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1"/>
      <c r="F746" s="1"/>
    </row>
    <row r="747" spans="1:6" ht="15.75" customHeight="1" x14ac:dyDescent="0.25">
      <c r="A747" s="1"/>
      <c r="B747" s="1"/>
      <c r="C747" s="1"/>
      <c r="D747" s="1"/>
      <c r="E747" s="1"/>
      <c r="F747" s="1"/>
    </row>
    <row r="748" spans="1:6" ht="15.75" customHeight="1" x14ac:dyDescent="0.25">
      <c r="A748" s="1"/>
      <c r="B748" s="1"/>
      <c r="C748" s="1"/>
      <c r="D748" s="1"/>
      <c r="E748" s="1"/>
      <c r="F748" s="1"/>
    </row>
    <row r="749" spans="1:6" ht="15.75" customHeight="1" x14ac:dyDescent="0.25">
      <c r="A749" s="1"/>
      <c r="B749" s="1"/>
      <c r="C749" s="1"/>
      <c r="D749" s="1"/>
      <c r="E749" s="1"/>
      <c r="F749" s="1"/>
    </row>
    <row r="750" spans="1:6" ht="15.75" customHeight="1" x14ac:dyDescent="0.25">
      <c r="A750" s="1"/>
      <c r="B750" s="1"/>
      <c r="C750" s="1"/>
      <c r="D750" s="1"/>
      <c r="E750" s="1"/>
      <c r="F750" s="1"/>
    </row>
    <row r="751" spans="1:6" ht="15.75" customHeight="1" x14ac:dyDescent="0.25">
      <c r="A751" s="1"/>
      <c r="B751" s="1"/>
      <c r="C751" s="1"/>
      <c r="D751" s="1"/>
      <c r="E751" s="1"/>
      <c r="F751" s="1"/>
    </row>
    <row r="752" spans="1:6" ht="15.75" customHeight="1" x14ac:dyDescent="0.25">
      <c r="A752" s="1"/>
      <c r="B752" s="1"/>
      <c r="C752" s="1"/>
      <c r="D752" s="1"/>
      <c r="E752" s="1"/>
      <c r="F752" s="1"/>
    </row>
    <row r="753" spans="1:6" ht="15.75" customHeight="1" x14ac:dyDescent="0.25">
      <c r="A753" s="1"/>
      <c r="B753" s="1"/>
      <c r="C753" s="1"/>
      <c r="D753" s="1"/>
      <c r="E753" s="1"/>
      <c r="F753" s="1"/>
    </row>
    <row r="754" spans="1:6" ht="15.75" customHeight="1" x14ac:dyDescent="0.25">
      <c r="A754" s="1"/>
      <c r="B754" s="1"/>
      <c r="C754" s="1"/>
      <c r="D754" s="1"/>
      <c r="E754" s="1"/>
      <c r="F754" s="1"/>
    </row>
    <row r="755" spans="1:6" ht="15.75" customHeight="1" x14ac:dyDescent="0.25">
      <c r="A755" s="1"/>
      <c r="B755" s="1"/>
      <c r="C755" s="1"/>
      <c r="D755" s="1"/>
      <c r="E755" s="1"/>
      <c r="F755" s="1"/>
    </row>
    <row r="756" spans="1:6" ht="15.75" customHeight="1" x14ac:dyDescent="0.25">
      <c r="A756" s="1"/>
      <c r="B756" s="1"/>
      <c r="C756" s="1"/>
      <c r="D756" s="1"/>
      <c r="E756" s="1"/>
      <c r="F756" s="1"/>
    </row>
    <row r="757" spans="1:6" ht="15.75" customHeight="1" x14ac:dyDescent="0.25">
      <c r="A757" s="1"/>
      <c r="B757" s="1"/>
      <c r="C757" s="1"/>
      <c r="D757" s="1"/>
      <c r="E757" s="1"/>
      <c r="F757" s="1"/>
    </row>
    <row r="758" spans="1:6" ht="15.75" customHeight="1" x14ac:dyDescent="0.25">
      <c r="A758" s="1"/>
      <c r="B758" s="1"/>
      <c r="C758" s="1"/>
      <c r="D758" s="1"/>
      <c r="E758" s="1"/>
      <c r="F758" s="1"/>
    </row>
    <row r="759" spans="1:6" ht="15.75" customHeight="1" x14ac:dyDescent="0.25">
      <c r="A759" s="1"/>
      <c r="B759" s="1"/>
      <c r="C759" s="1"/>
      <c r="D759" s="1"/>
      <c r="E759" s="1"/>
      <c r="F759" s="1"/>
    </row>
    <row r="760" spans="1:6" ht="15.75" customHeight="1" x14ac:dyDescent="0.25">
      <c r="A760" s="1"/>
      <c r="B760" s="1"/>
      <c r="C760" s="1"/>
      <c r="D760" s="1"/>
      <c r="E760" s="1"/>
      <c r="F760" s="1"/>
    </row>
    <row r="761" spans="1:6" ht="15.75" customHeight="1" x14ac:dyDescent="0.25">
      <c r="A761" s="1"/>
      <c r="B761" s="1"/>
      <c r="C761" s="1"/>
      <c r="D761" s="1"/>
      <c r="E761" s="1"/>
      <c r="F761" s="1"/>
    </row>
    <row r="762" spans="1:6" ht="15.75" customHeight="1" x14ac:dyDescent="0.25">
      <c r="A762" s="1"/>
      <c r="B762" s="1"/>
      <c r="C762" s="1"/>
      <c r="D762" s="1"/>
      <c r="E762" s="1"/>
      <c r="F762" s="1"/>
    </row>
    <row r="763" spans="1:6" ht="15.75" customHeight="1" x14ac:dyDescent="0.25">
      <c r="A763" s="1"/>
      <c r="B763" s="1"/>
      <c r="C763" s="1"/>
      <c r="D763" s="1"/>
      <c r="E763" s="1"/>
      <c r="F763" s="1"/>
    </row>
    <row r="764" spans="1:6" ht="15.75" customHeight="1" x14ac:dyDescent="0.25">
      <c r="A764" s="1"/>
      <c r="B764" s="1"/>
      <c r="C764" s="1"/>
      <c r="D764" s="1"/>
      <c r="E764" s="1"/>
      <c r="F764" s="1"/>
    </row>
    <row r="765" spans="1:6" ht="15.75" customHeight="1" x14ac:dyDescent="0.25">
      <c r="A765" s="1"/>
      <c r="B765" s="1"/>
      <c r="C765" s="1"/>
      <c r="D765" s="1"/>
      <c r="E765" s="1"/>
      <c r="F765" s="1"/>
    </row>
    <row r="766" spans="1:6" ht="15.75" customHeight="1" x14ac:dyDescent="0.25">
      <c r="A766" s="1"/>
      <c r="B766" s="1"/>
      <c r="C766" s="1"/>
      <c r="D766" s="1"/>
      <c r="E766" s="1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"/>
      <c r="F768" s="1"/>
    </row>
    <row r="769" spans="1:6" ht="15.75" customHeight="1" x14ac:dyDescent="0.25">
      <c r="A769" s="1"/>
      <c r="B769" s="1"/>
      <c r="C769" s="1"/>
      <c r="D769" s="1"/>
      <c r="E769" s="1"/>
      <c r="F769" s="1"/>
    </row>
    <row r="770" spans="1:6" ht="15.75" customHeight="1" x14ac:dyDescent="0.25">
      <c r="A770" s="1"/>
      <c r="B770" s="1"/>
      <c r="C770" s="1"/>
      <c r="D770" s="1"/>
      <c r="E770" s="1"/>
      <c r="F770" s="1"/>
    </row>
    <row r="771" spans="1:6" ht="15.75" customHeight="1" x14ac:dyDescent="0.25">
      <c r="A771" s="1"/>
      <c r="B771" s="1"/>
      <c r="C771" s="1"/>
      <c r="D771" s="1"/>
      <c r="E771" s="1"/>
      <c r="F771" s="1"/>
    </row>
    <row r="772" spans="1:6" ht="15.75" customHeight="1" x14ac:dyDescent="0.25">
      <c r="A772" s="1"/>
      <c r="B772" s="1"/>
      <c r="C772" s="1"/>
      <c r="D772" s="1"/>
      <c r="E772" s="1"/>
      <c r="F772" s="1"/>
    </row>
    <row r="773" spans="1:6" ht="15.75" customHeight="1" x14ac:dyDescent="0.25">
      <c r="A773" s="1"/>
      <c r="B773" s="1"/>
      <c r="C773" s="1"/>
      <c r="D773" s="1"/>
      <c r="E773" s="1"/>
      <c r="F773" s="1"/>
    </row>
    <row r="774" spans="1:6" ht="15.75" customHeight="1" x14ac:dyDescent="0.25">
      <c r="A774" s="1"/>
      <c r="B774" s="1"/>
      <c r="C774" s="1"/>
      <c r="D774" s="1"/>
      <c r="E774" s="1"/>
      <c r="F774" s="1"/>
    </row>
    <row r="775" spans="1:6" ht="15.75" customHeight="1" x14ac:dyDescent="0.25">
      <c r="A775" s="1"/>
      <c r="B775" s="1"/>
      <c r="C775" s="1"/>
      <c r="D775" s="1"/>
      <c r="E775" s="1"/>
      <c r="F775" s="1"/>
    </row>
    <row r="776" spans="1:6" ht="15.75" customHeight="1" x14ac:dyDescent="0.25">
      <c r="A776" s="1"/>
      <c r="B776" s="1"/>
      <c r="C776" s="1"/>
      <c r="D776" s="1"/>
      <c r="E776" s="1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"/>
      <c r="F778" s="1"/>
    </row>
    <row r="779" spans="1:6" ht="15.75" customHeight="1" x14ac:dyDescent="0.25">
      <c r="A779" s="1"/>
      <c r="B779" s="1"/>
      <c r="C779" s="1"/>
      <c r="D779" s="1"/>
      <c r="E779" s="1"/>
      <c r="F779" s="1"/>
    </row>
    <row r="780" spans="1:6" ht="15.75" customHeight="1" x14ac:dyDescent="0.25">
      <c r="A780" s="1"/>
      <c r="B780" s="1"/>
      <c r="C780" s="1"/>
      <c r="D780" s="1"/>
      <c r="E780" s="1"/>
      <c r="F780" s="1"/>
    </row>
    <row r="781" spans="1:6" ht="15.75" customHeight="1" x14ac:dyDescent="0.25">
      <c r="A781" s="1"/>
      <c r="B781" s="1"/>
      <c r="C781" s="1"/>
      <c r="D781" s="1"/>
      <c r="E781" s="1"/>
      <c r="F781" s="1"/>
    </row>
    <row r="782" spans="1:6" ht="15.75" customHeight="1" x14ac:dyDescent="0.25">
      <c r="A782" s="1"/>
      <c r="B782" s="1"/>
      <c r="C782" s="1"/>
      <c r="D782" s="1"/>
      <c r="E782" s="1"/>
      <c r="F782" s="1"/>
    </row>
    <row r="783" spans="1:6" ht="15.75" customHeight="1" x14ac:dyDescent="0.25">
      <c r="A783" s="1"/>
      <c r="B783" s="1"/>
      <c r="C783" s="1"/>
      <c r="D783" s="1"/>
      <c r="E783" s="1"/>
      <c r="F783" s="1"/>
    </row>
    <row r="784" spans="1:6" ht="15.75" customHeight="1" x14ac:dyDescent="0.25">
      <c r="A784" s="1"/>
      <c r="B784" s="1"/>
      <c r="C784" s="1"/>
      <c r="D784" s="1"/>
      <c r="E784" s="1"/>
      <c r="F784" s="1"/>
    </row>
    <row r="785" spans="1:6" ht="15.75" customHeight="1" x14ac:dyDescent="0.25">
      <c r="A785" s="1"/>
      <c r="B785" s="1"/>
      <c r="C785" s="1"/>
      <c r="D785" s="1"/>
      <c r="E785" s="1"/>
      <c r="F785" s="1"/>
    </row>
    <row r="786" spans="1:6" ht="15.75" customHeight="1" x14ac:dyDescent="0.25">
      <c r="A786" s="1"/>
      <c r="B786" s="1"/>
      <c r="C786" s="1"/>
      <c r="D786" s="1"/>
      <c r="E786" s="1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"/>
      <c r="F788" s="1"/>
    </row>
    <row r="789" spans="1:6" ht="15.75" customHeight="1" x14ac:dyDescent="0.25">
      <c r="A789" s="1"/>
      <c r="B789" s="1"/>
      <c r="C789" s="1"/>
      <c r="D789" s="1"/>
      <c r="E789" s="1"/>
      <c r="F789" s="1"/>
    </row>
    <row r="790" spans="1:6" ht="15.75" customHeight="1" x14ac:dyDescent="0.25">
      <c r="A790" s="1"/>
      <c r="B790" s="1"/>
      <c r="C790" s="1"/>
      <c r="D790" s="1"/>
      <c r="E790" s="1"/>
      <c r="F790" s="1"/>
    </row>
    <row r="791" spans="1:6" ht="15.75" customHeight="1" x14ac:dyDescent="0.25">
      <c r="A791" s="1"/>
      <c r="B791" s="1"/>
      <c r="C791" s="1"/>
      <c r="D791" s="1"/>
      <c r="E791" s="1"/>
      <c r="F791" s="1"/>
    </row>
    <row r="792" spans="1:6" ht="15.75" customHeight="1" x14ac:dyDescent="0.25">
      <c r="A792" s="1"/>
      <c r="B792" s="1"/>
      <c r="C792" s="1"/>
      <c r="D792" s="1"/>
      <c r="E792" s="1"/>
      <c r="F792" s="1"/>
    </row>
    <row r="793" spans="1:6" ht="15.75" customHeight="1" x14ac:dyDescent="0.25">
      <c r="A793" s="1"/>
      <c r="B793" s="1"/>
      <c r="C793" s="1"/>
      <c r="D793" s="1"/>
      <c r="E793" s="1"/>
      <c r="F793" s="1"/>
    </row>
    <row r="794" spans="1:6" ht="15.75" customHeight="1" x14ac:dyDescent="0.25">
      <c r="A794" s="1"/>
      <c r="B794" s="1"/>
      <c r="C794" s="1"/>
      <c r="D794" s="1"/>
      <c r="E794" s="1"/>
      <c r="F794" s="1"/>
    </row>
    <row r="795" spans="1:6" ht="15.75" customHeight="1" x14ac:dyDescent="0.25">
      <c r="A795" s="1"/>
      <c r="B795" s="1"/>
      <c r="C795" s="1"/>
      <c r="D795" s="1"/>
      <c r="E795" s="1"/>
      <c r="F795" s="1"/>
    </row>
    <row r="796" spans="1:6" ht="15.75" customHeight="1" x14ac:dyDescent="0.25">
      <c r="A796" s="1"/>
      <c r="B796" s="1"/>
      <c r="C796" s="1"/>
      <c r="D796" s="1"/>
      <c r="E796" s="1"/>
      <c r="F796" s="1"/>
    </row>
    <row r="797" spans="1:6" ht="15.75" customHeight="1" x14ac:dyDescent="0.25">
      <c r="A797" s="1"/>
      <c r="B797" s="1"/>
      <c r="C797" s="1"/>
      <c r="D797" s="1"/>
      <c r="E797" s="1"/>
      <c r="F797" s="1"/>
    </row>
    <row r="798" spans="1:6" ht="15.75" customHeight="1" x14ac:dyDescent="0.25">
      <c r="A798" s="1"/>
      <c r="B798" s="1"/>
      <c r="C798" s="1"/>
      <c r="D798" s="1"/>
      <c r="E798" s="1"/>
      <c r="F798" s="1"/>
    </row>
    <row r="799" spans="1:6" ht="15.75" customHeight="1" x14ac:dyDescent="0.25">
      <c r="A799" s="1"/>
      <c r="B799" s="1"/>
      <c r="C799" s="1"/>
      <c r="D799" s="1"/>
      <c r="E799" s="1"/>
      <c r="F799" s="1"/>
    </row>
    <row r="800" spans="1:6" ht="15.75" customHeight="1" x14ac:dyDescent="0.25">
      <c r="A800" s="1"/>
      <c r="B800" s="1"/>
      <c r="C800" s="1"/>
      <c r="D800" s="1"/>
      <c r="E800" s="1"/>
      <c r="F800" s="1"/>
    </row>
    <row r="801" spans="1:6" ht="15.75" customHeight="1" x14ac:dyDescent="0.25">
      <c r="A801" s="1"/>
      <c r="B801" s="1"/>
      <c r="C801" s="1"/>
      <c r="D801" s="1"/>
      <c r="E801" s="1"/>
      <c r="F801" s="1"/>
    </row>
    <row r="802" spans="1:6" ht="15.75" customHeight="1" x14ac:dyDescent="0.25">
      <c r="A802" s="1"/>
      <c r="B802" s="1"/>
      <c r="C802" s="1"/>
      <c r="D802" s="1"/>
      <c r="E802" s="1"/>
      <c r="F802" s="1"/>
    </row>
    <row r="803" spans="1:6" ht="15.75" customHeight="1" x14ac:dyDescent="0.25">
      <c r="A803" s="1"/>
      <c r="B803" s="1"/>
      <c r="C803" s="1"/>
      <c r="D803" s="1"/>
      <c r="E803" s="1"/>
      <c r="F803" s="1"/>
    </row>
    <row r="804" spans="1:6" ht="15.75" customHeight="1" x14ac:dyDescent="0.25">
      <c r="A804" s="1"/>
      <c r="B804" s="1"/>
      <c r="C804" s="1"/>
      <c r="D804" s="1"/>
      <c r="E804" s="1"/>
      <c r="F804" s="1"/>
    </row>
    <row r="805" spans="1:6" ht="15.75" customHeight="1" x14ac:dyDescent="0.25">
      <c r="A805" s="1"/>
      <c r="B805" s="1"/>
      <c r="C805" s="1"/>
      <c r="D805" s="1"/>
      <c r="E805" s="1"/>
      <c r="F805" s="1"/>
    </row>
    <row r="806" spans="1:6" ht="15.75" customHeight="1" x14ac:dyDescent="0.25">
      <c r="A806" s="1"/>
      <c r="B806" s="1"/>
      <c r="C806" s="1"/>
      <c r="D806" s="1"/>
      <c r="E806" s="1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"/>
      <c r="F808" s="1"/>
    </row>
    <row r="809" spans="1:6" ht="15.75" customHeight="1" x14ac:dyDescent="0.25">
      <c r="A809" s="1"/>
      <c r="B809" s="1"/>
      <c r="C809" s="1"/>
      <c r="D809" s="1"/>
      <c r="E809" s="1"/>
      <c r="F809" s="1"/>
    </row>
    <row r="810" spans="1:6" ht="15.75" customHeight="1" x14ac:dyDescent="0.25">
      <c r="A810" s="1"/>
      <c r="B810" s="1"/>
      <c r="C810" s="1"/>
      <c r="D810" s="1"/>
      <c r="E810" s="1"/>
      <c r="F810" s="1"/>
    </row>
    <row r="811" spans="1:6" ht="15.75" customHeight="1" x14ac:dyDescent="0.25">
      <c r="A811" s="1"/>
      <c r="B811" s="1"/>
      <c r="C811" s="1"/>
      <c r="D811" s="1"/>
      <c r="E811" s="1"/>
      <c r="F811" s="1"/>
    </row>
    <row r="812" spans="1:6" ht="15.75" customHeight="1" x14ac:dyDescent="0.25">
      <c r="A812" s="1"/>
      <c r="B812" s="1"/>
      <c r="C812" s="1"/>
      <c r="D812" s="1"/>
      <c r="E812" s="1"/>
      <c r="F812" s="1"/>
    </row>
    <row r="813" spans="1:6" ht="15.75" customHeight="1" x14ac:dyDescent="0.25">
      <c r="A813" s="1"/>
      <c r="B813" s="1"/>
      <c r="C813" s="1"/>
      <c r="D813" s="1"/>
      <c r="E813" s="1"/>
      <c r="F813" s="1"/>
    </row>
    <row r="814" spans="1:6" ht="15.75" customHeight="1" x14ac:dyDescent="0.25">
      <c r="A814" s="1"/>
      <c r="B814" s="1"/>
      <c r="C814" s="1"/>
      <c r="D814" s="1"/>
      <c r="E814" s="1"/>
      <c r="F814" s="1"/>
    </row>
    <row r="815" spans="1:6" ht="15.75" customHeight="1" x14ac:dyDescent="0.25">
      <c r="A815" s="1"/>
      <c r="B815" s="1"/>
      <c r="C815" s="1"/>
      <c r="D815" s="1"/>
      <c r="E815" s="1"/>
      <c r="F815" s="1"/>
    </row>
    <row r="816" spans="1:6" ht="15.75" customHeight="1" x14ac:dyDescent="0.25">
      <c r="A816" s="1"/>
      <c r="B816" s="1"/>
      <c r="C816" s="1"/>
      <c r="D816" s="1"/>
      <c r="E816" s="1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"/>
      <c r="F818" s="1"/>
    </row>
    <row r="819" spans="1:6" ht="15.75" customHeight="1" x14ac:dyDescent="0.25">
      <c r="A819" s="1"/>
      <c r="B819" s="1"/>
      <c r="C819" s="1"/>
      <c r="D819" s="1"/>
      <c r="E819" s="1"/>
      <c r="F819" s="1"/>
    </row>
    <row r="820" spans="1:6" ht="15.75" customHeight="1" x14ac:dyDescent="0.25">
      <c r="A820" s="1"/>
      <c r="B820" s="1"/>
      <c r="C820" s="1"/>
      <c r="D820" s="1"/>
      <c r="E820" s="1"/>
      <c r="F820" s="1"/>
    </row>
    <row r="821" spans="1:6" ht="15.75" customHeight="1" x14ac:dyDescent="0.25">
      <c r="A821" s="1"/>
      <c r="B821" s="1"/>
      <c r="C821" s="1"/>
      <c r="D821" s="1"/>
      <c r="E821" s="1"/>
      <c r="F821" s="1"/>
    </row>
    <row r="822" spans="1:6" ht="15.75" customHeight="1" x14ac:dyDescent="0.25">
      <c r="A822" s="1"/>
      <c r="B822" s="1"/>
      <c r="C822" s="1"/>
      <c r="D822" s="1"/>
      <c r="E822" s="1"/>
      <c r="F822" s="1"/>
    </row>
    <row r="823" spans="1:6" ht="15.75" customHeight="1" x14ac:dyDescent="0.25">
      <c r="A823" s="1"/>
      <c r="B823" s="1"/>
      <c r="C823" s="1"/>
      <c r="D823" s="1"/>
      <c r="E823" s="1"/>
      <c r="F823" s="1"/>
    </row>
    <row r="824" spans="1:6" ht="15.75" customHeight="1" x14ac:dyDescent="0.25">
      <c r="A824" s="1"/>
      <c r="B824" s="1"/>
      <c r="C824" s="1"/>
      <c r="D824" s="1"/>
      <c r="E824" s="1"/>
      <c r="F824" s="1"/>
    </row>
    <row r="825" spans="1:6" ht="15.75" customHeight="1" x14ac:dyDescent="0.25">
      <c r="A825" s="1"/>
      <c r="B825" s="1"/>
      <c r="C825" s="1"/>
      <c r="D825" s="1"/>
      <c r="E825" s="1"/>
      <c r="F825" s="1"/>
    </row>
    <row r="826" spans="1:6" ht="15.75" customHeight="1" x14ac:dyDescent="0.25">
      <c r="A826" s="1"/>
      <c r="B826" s="1"/>
      <c r="C826" s="1"/>
      <c r="D826" s="1"/>
      <c r="E826" s="1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"/>
      <c r="F828" s="1"/>
    </row>
    <row r="829" spans="1:6" ht="15.75" customHeight="1" x14ac:dyDescent="0.25">
      <c r="A829" s="1"/>
      <c r="B829" s="1"/>
      <c r="C829" s="1"/>
      <c r="D829" s="1"/>
      <c r="E829" s="1"/>
      <c r="F829" s="1"/>
    </row>
    <row r="830" spans="1:6" ht="15.75" customHeight="1" x14ac:dyDescent="0.25">
      <c r="A830" s="1"/>
      <c r="B830" s="1"/>
      <c r="C830" s="1"/>
      <c r="D830" s="1"/>
      <c r="E830" s="1"/>
      <c r="F830" s="1"/>
    </row>
    <row r="831" spans="1:6" ht="15.75" customHeight="1" x14ac:dyDescent="0.25">
      <c r="A831" s="1"/>
      <c r="B831" s="1"/>
      <c r="C831" s="1"/>
      <c r="D831" s="1"/>
      <c r="E831" s="1"/>
      <c r="F831" s="1"/>
    </row>
    <row r="832" spans="1:6" ht="15.75" customHeight="1" x14ac:dyDescent="0.25">
      <c r="A832" s="1"/>
      <c r="B832" s="1"/>
      <c r="C832" s="1"/>
      <c r="D832" s="1"/>
      <c r="E832" s="1"/>
      <c r="F832" s="1"/>
    </row>
    <row r="833" spans="1:6" ht="15.75" customHeight="1" x14ac:dyDescent="0.25">
      <c r="A833" s="1"/>
      <c r="B833" s="1"/>
      <c r="C833" s="1"/>
      <c r="D833" s="1"/>
      <c r="E833" s="1"/>
      <c r="F833" s="1"/>
    </row>
    <row r="834" spans="1:6" ht="15.75" customHeight="1" x14ac:dyDescent="0.25">
      <c r="A834" s="1"/>
      <c r="B834" s="1"/>
      <c r="C834" s="1"/>
      <c r="D834" s="1"/>
      <c r="E834" s="1"/>
      <c r="F834" s="1"/>
    </row>
    <row r="835" spans="1:6" ht="15.75" customHeight="1" x14ac:dyDescent="0.25">
      <c r="A835" s="1"/>
      <c r="B835" s="1"/>
      <c r="C835" s="1"/>
      <c r="D835" s="1"/>
      <c r="E835" s="1"/>
      <c r="F835" s="1"/>
    </row>
    <row r="836" spans="1:6" ht="15.75" customHeight="1" x14ac:dyDescent="0.25">
      <c r="A836" s="1"/>
      <c r="B836" s="1"/>
      <c r="C836" s="1"/>
      <c r="D836" s="1"/>
      <c r="E836" s="1"/>
      <c r="F836" s="1"/>
    </row>
    <row r="837" spans="1:6" ht="15.75" customHeight="1" x14ac:dyDescent="0.25">
      <c r="A837" s="1"/>
      <c r="B837" s="1"/>
      <c r="C837" s="1"/>
      <c r="D837" s="1"/>
      <c r="E837" s="1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1"/>
      <c r="F839" s="1"/>
    </row>
    <row r="840" spans="1:6" ht="15.75" customHeight="1" x14ac:dyDescent="0.25">
      <c r="A840" s="1"/>
      <c r="B840" s="1"/>
      <c r="C840" s="1"/>
      <c r="D840" s="1"/>
      <c r="E840" s="1"/>
      <c r="F840" s="1"/>
    </row>
    <row r="841" spans="1:6" ht="15.75" customHeight="1" x14ac:dyDescent="0.25">
      <c r="A841" s="1"/>
      <c r="B841" s="1"/>
      <c r="C841" s="1"/>
      <c r="D841" s="1"/>
      <c r="E841" s="1"/>
      <c r="F841" s="1"/>
    </row>
    <row r="842" spans="1:6" ht="15.75" customHeight="1" x14ac:dyDescent="0.25">
      <c r="A842" s="1"/>
      <c r="B842" s="1"/>
      <c r="C842" s="1"/>
      <c r="D842" s="1"/>
      <c r="E842" s="1"/>
      <c r="F842" s="1"/>
    </row>
    <row r="843" spans="1:6" ht="15.75" customHeight="1" x14ac:dyDescent="0.25">
      <c r="A843" s="1"/>
      <c r="B843" s="1"/>
      <c r="C843" s="1"/>
      <c r="D843" s="1"/>
      <c r="E843" s="1"/>
      <c r="F843" s="1"/>
    </row>
    <row r="844" spans="1:6" ht="15.75" customHeight="1" x14ac:dyDescent="0.25">
      <c r="A844" s="1"/>
      <c r="B844" s="1"/>
      <c r="C844" s="1"/>
      <c r="D844" s="1"/>
      <c r="E844" s="1"/>
      <c r="F844" s="1"/>
    </row>
    <row r="845" spans="1:6" ht="15.75" customHeight="1" x14ac:dyDescent="0.25">
      <c r="A845" s="1"/>
      <c r="B845" s="1"/>
      <c r="C845" s="1"/>
      <c r="D845" s="1"/>
      <c r="E845" s="1"/>
      <c r="F845" s="1"/>
    </row>
    <row r="846" spans="1:6" ht="15.75" customHeight="1" x14ac:dyDescent="0.25">
      <c r="A846" s="1"/>
      <c r="B846" s="1"/>
      <c r="C846" s="1"/>
      <c r="D846" s="1"/>
      <c r="E846" s="1"/>
      <c r="F846" s="1"/>
    </row>
    <row r="847" spans="1:6" ht="15.75" customHeight="1" x14ac:dyDescent="0.25">
      <c r="A847" s="1"/>
      <c r="B847" s="1"/>
      <c r="C847" s="1"/>
      <c r="D847" s="1"/>
      <c r="E847" s="1"/>
      <c r="F847" s="1"/>
    </row>
    <row r="848" spans="1:6" ht="15.75" customHeight="1" x14ac:dyDescent="0.25">
      <c r="A848" s="1"/>
      <c r="B848" s="1"/>
      <c r="C848" s="1"/>
      <c r="D848" s="1"/>
      <c r="E848" s="1"/>
      <c r="F848" s="1"/>
    </row>
    <row r="849" spans="1:6" ht="15.75" customHeight="1" x14ac:dyDescent="0.25">
      <c r="A849" s="1"/>
      <c r="B849" s="1"/>
      <c r="C849" s="1"/>
      <c r="D849" s="1"/>
      <c r="E849" s="1"/>
      <c r="F849" s="1"/>
    </row>
    <row r="850" spans="1:6" ht="15.75" customHeight="1" x14ac:dyDescent="0.25">
      <c r="A850" s="1"/>
      <c r="B850" s="1"/>
      <c r="C850" s="1"/>
      <c r="D850" s="1"/>
      <c r="E850" s="1"/>
      <c r="F850" s="1"/>
    </row>
    <row r="851" spans="1:6" ht="15.75" customHeight="1" x14ac:dyDescent="0.25">
      <c r="A851" s="1"/>
      <c r="B851" s="1"/>
      <c r="C851" s="1"/>
      <c r="D851" s="1"/>
      <c r="E851" s="1"/>
      <c r="F851" s="1"/>
    </row>
    <row r="852" spans="1:6" ht="15.75" customHeight="1" x14ac:dyDescent="0.25">
      <c r="A852" s="1"/>
      <c r="B852" s="1"/>
      <c r="C852" s="1"/>
      <c r="D852" s="1"/>
      <c r="E852" s="1"/>
      <c r="F852" s="1"/>
    </row>
    <row r="853" spans="1:6" ht="15.75" customHeight="1" x14ac:dyDescent="0.25">
      <c r="A853" s="1"/>
      <c r="B853" s="1"/>
      <c r="C853" s="1"/>
      <c r="D853" s="1"/>
      <c r="E853" s="1"/>
      <c r="F853" s="1"/>
    </row>
    <row r="854" spans="1:6" ht="15.75" customHeight="1" x14ac:dyDescent="0.25">
      <c r="A854" s="1"/>
      <c r="B854" s="1"/>
      <c r="C854" s="1"/>
      <c r="D854" s="1"/>
      <c r="E854" s="1"/>
      <c r="F854" s="1"/>
    </row>
    <row r="855" spans="1:6" ht="15.75" customHeight="1" x14ac:dyDescent="0.25">
      <c r="A855" s="1"/>
      <c r="B855" s="1"/>
      <c r="C855" s="1"/>
      <c r="D855" s="1"/>
      <c r="E855" s="1"/>
      <c r="F855" s="1"/>
    </row>
    <row r="856" spans="1:6" ht="15.75" customHeight="1" x14ac:dyDescent="0.25">
      <c r="A856" s="1"/>
      <c r="B856" s="1"/>
      <c r="C856" s="1"/>
      <c r="D856" s="1"/>
      <c r="E856" s="1"/>
      <c r="F856" s="1"/>
    </row>
    <row r="857" spans="1:6" ht="15.75" customHeight="1" x14ac:dyDescent="0.25">
      <c r="A857" s="1"/>
      <c r="B857" s="1"/>
      <c r="C857" s="1"/>
      <c r="D857" s="1"/>
      <c r="E857" s="1"/>
      <c r="F857" s="1"/>
    </row>
    <row r="858" spans="1:6" ht="15.75" customHeight="1" x14ac:dyDescent="0.25">
      <c r="A858" s="1"/>
      <c r="B858" s="1"/>
      <c r="C858" s="1"/>
      <c r="D858" s="1"/>
      <c r="E858" s="1"/>
      <c r="F858" s="1"/>
    </row>
    <row r="859" spans="1:6" ht="15.75" customHeight="1" x14ac:dyDescent="0.25">
      <c r="A859" s="1"/>
      <c r="B859" s="1"/>
      <c r="C859" s="1"/>
      <c r="D859" s="1"/>
      <c r="E859" s="1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"/>
      <c r="F861" s="1"/>
    </row>
    <row r="862" spans="1:6" ht="15.75" customHeight="1" x14ac:dyDescent="0.25">
      <c r="A862" s="1"/>
      <c r="B862" s="1"/>
      <c r="C862" s="1"/>
      <c r="D862" s="1"/>
      <c r="E862" s="1"/>
      <c r="F862" s="1"/>
    </row>
    <row r="863" spans="1:6" ht="15.75" customHeight="1" x14ac:dyDescent="0.25">
      <c r="A863" s="1"/>
      <c r="B863" s="1"/>
      <c r="C863" s="1"/>
      <c r="D863" s="1"/>
      <c r="E863" s="1"/>
      <c r="F863" s="1"/>
    </row>
    <row r="864" spans="1:6" ht="15.75" customHeight="1" x14ac:dyDescent="0.25">
      <c r="A864" s="1"/>
      <c r="B864" s="1"/>
      <c r="C864" s="1"/>
      <c r="D864" s="1"/>
      <c r="E864" s="1"/>
      <c r="F864" s="1"/>
    </row>
    <row r="865" spans="1:6" ht="15.75" customHeight="1" x14ac:dyDescent="0.25">
      <c r="A865" s="1"/>
      <c r="B865" s="1"/>
      <c r="C865" s="1"/>
      <c r="D865" s="1"/>
      <c r="E865" s="1"/>
      <c r="F865" s="1"/>
    </row>
    <row r="866" spans="1:6" ht="15.75" customHeight="1" x14ac:dyDescent="0.25">
      <c r="A866" s="1"/>
      <c r="B866" s="1"/>
      <c r="C866" s="1"/>
      <c r="D866" s="1"/>
      <c r="E866" s="1"/>
      <c r="F866" s="1"/>
    </row>
    <row r="867" spans="1:6" ht="15.75" customHeight="1" x14ac:dyDescent="0.25">
      <c r="A867" s="1"/>
      <c r="B867" s="1"/>
      <c r="C867" s="1"/>
      <c r="D867" s="1"/>
      <c r="E867" s="1"/>
      <c r="F867" s="1"/>
    </row>
    <row r="868" spans="1:6" ht="15.75" customHeight="1" x14ac:dyDescent="0.25">
      <c r="A868" s="1"/>
      <c r="B868" s="1"/>
      <c r="C868" s="1"/>
      <c r="D868" s="1"/>
      <c r="E868" s="1"/>
      <c r="F868" s="1"/>
    </row>
    <row r="869" spans="1:6" ht="15.75" customHeight="1" x14ac:dyDescent="0.25">
      <c r="A869" s="1"/>
      <c r="B869" s="1"/>
      <c r="C869" s="1"/>
      <c r="D869" s="1"/>
      <c r="E869" s="1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"/>
      <c r="F871" s="1"/>
    </row>
    <row r="872" spans="1:6" ht="15.75" customHeight="1" x14ac:dyDescent="0.25">
      <c r="A872" s="1"/>
      <c r="B872" s="1"/>
      <c r="C872" s="1"/>
      <c r="D872" s="1"/>
      <c r="E872" s="1"/>
      <c r="F872" s="1"/>
    </row>
    <row r="873" spans="1:6" ht="15.75" customHeight="1" x14ac:dyDescent="0.25">
      <c r="A873" s="1"/>
      <c r="B873" s="1"/>
      <c r="C873" s="1"/>
      <c r="D873" s="1"/>
      <c r="E873" s="1"/>
      <c r="F873" s="1"/>
    </row>
    <row r="874" spans="1:6" ht="15.75" customHeight="1" x14ac:dyDescent="0.25">
      <c r="A874" s="1"/>
      <c r="B874" s="1"/>
      <c r="C874" s="1"/>
      <c r="D874" s="1"/>
      <c r="E874" s="1"/>
      <c r="F874" s="1"/>
    </row>
    <row r="875" spans="1:6" ht="15.75" customHeight="1" x14ac:dyDescent="0.25">
      <c r="A875" s="1"/>
      <c r="B875" s="1"/>
      <c r="C875" s="1"/>
      <c r="D875" s="1"/>
      <c r="E875" s="1"/>
      <c r="F875" s="1"/>
    </row>
    <row r="876" spans="1:6" ht="15.75" customHeight="1" x14ac:dyDescent="0.25">
      <c r="A876" s="1"/>
      <c r="B876" s="1"/>
      <c r="C876" s="1"/>
      <c r="D876" s="1"/>
      <c r="E876" s="1"/>
      <c r="F876" s="1"/>
    </row>
    <row r="877" spans="1:6" ht="15.75" customHeight="1" x14ac:dyDescent="0.25">
      <c r="A877" s="1"/>
      <c r="B877" s="1"/>
      <c r="C877" s="1"/>
      <c r="D877" s="1"/>
      <c r="E877" s="1"/>
      <c r="F877" s="1"/>
    </row>
    <row r="878" spans="1:6" ht="15.75" customHeight="1" x14ac:dyDescent="0.25">
      <c r="A878" s="1"/>
      <c r="B878" s="1"/>
      <c r="C878" s="1"/>
      <c r="D878" s="1"/>
      <c r="E878" s="1"/>
      <c r="F878" s="1"/>
    </row>
    <row r="879" spans="1:6" ht="15.75" customHeight="1" x14ac:dyDescent="0.25">
      <c r="A879" s="1"/>
      <c r="B879" s="1"/>
      <c r="C879" s="1"/>
      <c r="D879" s="1"/>
      <c r="E879" s="1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"/>
      <c r="F881" s="1"/>
    </row>
    <row r="882" spans="1:6" ht="15.75" customHeight="1" x14ac:dyDescent="0.25">
      <c r="A882" s="1"/>
      <c r="B882" s="1"/>
      <c r="C882" s="1"/>
      <c r="D882" s="1"/>
      <c r="E882" s="1"/>
      <c r="F882" s="1"/>
    </row>
    <row r="883" spans="1:6" ht="15.75" customHeight="1" x14ac:dyDescent="0.25">
      <c r="A883" s="1"/>
      <c r="B883" s="1"/>
      <c r="C883" s="1"/>
      <c r="D883" s="1"/>
      <c r="E883" s="1"/>
      <c r="F883" s="1"/>
    </row>
    <row r="884" spans="1:6" ht="15.75" customHeight="1" x14ac:dyDescent="0.25">
      <c r="A884" s="1"/>
      <c r="B884" s="1"/>
      <c r="C884" s="1"/>
      <c r="D884" s="1"/>
      <c r="E884" s="1"/>
      <c r="F884" s="1"/>
    </row>
    <row r="885" spans="1:6" ht="15.75" customHeight="1" x14ac:dyDescent="0.25">
      <c r="A885" s="1"/>
      <c r="B885" s="1"/>
      <c r="C885" s="1"/>
      <c r="D885" s="1"/>
      <c r="E885" s="1"/>
      <c r="F885" s="1"/>
    </row>
    <row r="886" spans="1:6" ht="15.75" customHeight="1" x14ac:dyDescent="0.25">
      <c r="A886" s="1"/>
      <c r="B886" s="1"/>
      <c r="C886" s="1"/>
      <c r="D886" s="1"/>
      <c r="E886" s="1"/>
      <c r="F886" s="1"/>
    </row>
    <row r="887" spans="1:6" ht="15.75" customHeight="1" x14ac:dyDescent="0.25">
      <c r="A887" s="1"/>
      <c r="B887" s="1"/>
      <c r="C887" s="1"/>
      <c r="D887" s="1"/>
      <c r="E887" s="1"/>
      <c r="F887" s="1"/>
    </row>
    <row r="888" spans="1:6" ht="15.75" customHeight="1" x14ac:dyDescent="0.25">
      <c r="A888" s="1"/>
      <c r="B888" s="1"/>
      <c r="C888" s="1"/>
      <c r="D888" s="1"/>
      <c r="E888" s="1"/>
      <c r="F888" s="1"/>
    </row>
    <row r="889" spans="1:6" ht="15.75" customHeight="1" x14ac:dyDescent="0.25">
      <c r="A889" s="1"/>
      <c r="B889" s="1"/>
      <c r="C889" s="1"/>
      <c r="D889" s="1"/>
      <c r="E889" s="1"/>
      <c r="F889" s="1"/>
    </row>
    <row r="890" spans="1:6" ht="15.75" customHeight="1" x14ac:dyDescent="0.25">
      <c r="A890" s="1"/>
      <c r="B890" s="1"/>
      <c r="C890" s="1"/>
      <c r="D890" s="1"/>
      <c r="E890" s="1"/>
      <c r="F890" s="1"/>
    </row>
    <row r="891" spans="1:6" ht="15.75" customHeight="1" x14ac:dyDescent="0.25">
      <c r="A891" s="1"/>
      <c r="B891" s="1"/>
      <c r="C891" s="1"/>
      <c r="D891" s="1"/>
      <c r="E891" s="1"/>
      <c r="F891" s="1"/>
    </row>
    <row r="892" spans="1:6" ht="15.75" customHeight="1" x14ac:dyDescent="0.25">
      <c r="A892" s="1"/>
      <c r="B892" s="1"/>
      <c r="C892" s="1"/>
      <c r="D892" s="1"/>
      <c r="E892" s="1"/>
      <c r="F892" s="1"/>
    </row>
    <row r="893" spans="1:6" ht="15.75" customHeight="1" x14ac:dyDescent="0.25">
      <c r="A893" s="1"/>
      <c r="B893" s="1"/>
      <c r="C893" s="1"/>
      <c r="D893" s="1"/>
      <c r="E893" s="1"/>
      <c r="F893" s="1"/>
    </row>
    <row r="894" spans="1:6" ht="15.75" customHeight="1" x14ac:dyDescent="0.25">
      <c r="A894" s="1"/>
      <c r="B894" s="1"/>
      <c r="C894" s="1"/>
      <c r="D894" s="1"/>
      <c r="E894" s="1"/>
      <c r="F894" s="1"/>
    </row>
    <row r="895" spans="1:6" ht="15.75" customHeight="1" x14ac:dyDescent="0.25">
      <c r="A895" s="1"/>
      <c r="B895" s="1"/>
      <c r="C895" s="1"/>
      <c r="D895" s="1"/>
      <c r="E895" s="1"/>
      <c r="F895" s="1"/>
    </row>
    <row r="896" spans="1:6" ht="15.75" customHeight="1" x14ac:dyDescent="0.25">
      <c r="A896" s="1"/>
      <c r="B896" s="1"/>
      <c r="C896" s="1"/>
      <c r="D896" s="1"/>
      <c r="E896" s="1"/>
      <c r="F896" s="1"/>
    </row>
    <row r="897" spans="1:6" ht="15.75" customHeight="1" x14ac:dyDescent="0.25">
      <c r="A897" s="1"/>
      <c r="B897" s="1"/>
      <c r="C897" s="1"/>
      <c r="D897" s="1"/>
      <c r="E897" s="1"/>
      <c r="F897" s="1"/>
    </row>
    <row r="898" spans="1:6" ht="15.75" customHeight="1" x14ac:dyDescent="0.25">
      <c r="A898" s="1"/>
      <c r="B898" s="1"/>
      <c r="C898" s="1"/>
      <c r="D898" s="1"/>
      <c r="E898" s="1"/>
      <c r="F898" s="1"/>
    </row>
    <row r="899" spans="1:6" ht="15.75" customHeight="1" x14ac:dyDescent="0.25">
      <c r="A899" s="1"/>
      <c r="B899" s="1"/>
      <c r="C899" s="1"/>
      <c r="D899" s="1"/>
      <c r="E899" s="1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"/>
      <c r="F901" s="1"/>
    </row>
    <row r="902" spans="1:6" ht="15.75" customHeight="1" x14ac:dyDescent="0.25">
      <c r="A902" s="1"/>
      <c r="B902" s="1"/>
      <c r="C902" s="1"/>
      <c r="D902" s="1"/>
      <c r="E902" s="1"/>
      <c r="F902" s="1"/>
    </row>
    <row r="903" spans="1:6" ht="15.75" customHeight="1" x14ac:dyDescent="0.25">
      <c r="A903" s="1"/>
      <c r="B903" s="1"/>
      <c r="C903" s="1"/>
      <c r="D903" s="1"/>
      <c r="E903" s="1"/>
      <c r="F903" s="1"/>
    </row>
    <row r="904" spans="1:6" ht="15.75" customHeight="1" x14ac:dyDescent="0.25">
      <c r="A904" s="1"/>
      <c r="B904" s="1"/>
      <c r="C904" s="1"/>
      <c r="D904" s="1"/>
      <c r="E904" s="1"/>
      <c r="F904" s="1"/>
    </row>
    <row r="905" spans="1:6" ht="15.75" customHeight="1" x14ac:dyDescent="0.25">
      <c r="A905" s="1"/>
      <c r="B905" s="1"/>
      <c r="C905" s="1"/>
      <c r="D905" s="1"/>
      <c r="E905" s="1"/>
      <c r="F905" s="1"/>
    </row>
    <row r="906" spans="1:6" ht="15.75" customHeight="1" x14ac:dyDescent="0.25">
      <c r="A906" s="1"/>
      <c r="B906" s="1"/>
      <c r="C906" s="1"/>
      <c r="D906" s="1"/>
      <c r="E906" s="1"/>
      <c r="F906" s="1"/>
    </row>
    <row r="907" spans="1:6" ht="15.75" customHeight="1" x14ac:dyDescent="0.25">
      <c r="A907" s="1"/>
      <c r="B907" s="1"/>
      <c r="C907" s="1"/>
      <c r="D907" s="1"/>
      <c r="E907" s="1"/>
      <c r="F907" s="1"/>
    </row>
    <row r="908" spans="1:6" ht="15.75" customHeight="1" x14ac:dyDescent="0.25">
      <c r="A908" s="1"/>
      <c r="B908" s="1"/>
      <c r="C908" s="1"/>
      <c r="D908" s="1"/>
      <c r="E908" s="1"/>
      <c r="F908" s="1"/>
    </row>
    <row r="909" spans="1:6" ht="15.75" customHeight="1" x14ac:dyDescent="0.25">
      <c r="A909" s="1"/>
      <c r="B909" s="1"/>
      <c r="C909" s="1"/>
      <c r="D909" s="1"/>
      <c r="E909" s="1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"/>
      <c r="F911" s="1"/>
    </row>
    <row r="912" spans="1:6" ht="15.75" customHeight="1" x14ac:dyDescent="0.25">
      <c r="A912" s="1"/>
      <c r="B912" s="1"/>
      <c r="C912" s="1"/>
      <c r="D912" s="1"/>
      <c r="E912" s="1"/>
      <c r="F912" s="1"/>
    </row>
    <row r="913" spans="1:6" ht="15.75" customHeight="1" x14ac:dyDescent="0.25">
      <c r="A913" s="1"/>
      <c r="B913" s="1"/>
      <c r="C913" s="1"/>
      <c r="D913" s="1"/>
      <c r="E913" s="1"/>
      <c r="F913" s="1"/>
    </row>
    <row r="914" spans="1:6" ht="15.75" customHeight="1" x14ac:dyDescent="0.25">
      <c r="A914" s="1"/>
      <c r="B914" s="1"/>
      <c r="C914" s="1"/>
      <c r="D914" s="1"/>
      <c r="E914" s="1"/>
      <c r="F914" s="1"/>
    </row>
    <row r="915" spans="1:6" ht="15.75" customHeight="1" x14ac:dyDescent="0.25">
      <c r="A915" s="1"/>
      <c r="B915" s="1"/>
      <c r="C915" s="1"/>
      <c r="D915" s="1"/>
      <c r="E915" s="1"/>
      <c r="F915" s="1"/>
    </row>
    <row r="916" spans="1:6" ht="15.75" customHeight="1" x14ac:dyDescent="0.25">
      <c r="A916" s="1"/>
      <c r="B916" s="1"/>
      <c r="C916" s="1"/>
      <c r="D916" s="1"/>
      <c r="E916" s="1"/>
      <c r="F916" s="1"/>
    </row>
    <row r="917" spans="1:6" ht="15.75" customHeight="1" x14ac:dyDescent="0.25">
      <c r="A917" s="1"/>
      <c r="B917" s="1"/>
      <c r="C917" s="1"/>
      <c r="D917" s="1"/>
      <c r="E917" s="1"/>
      <c r="F917" s="1"/>
    </row>
    <row r="918" spans="1:6" ht="15.75" customHeight="1" x14ac:dyDescent="0.25">
      <c r="A918" s="1"/>
      <c r="B918" s="1"/>
      <c r="C918" s="1"/>
      <c r="D918" s="1"/>
      <c r="E918" s="1"/>
      <c r="F918" s="1"/>
    </row>
    <row r="919" spans="1:6" ht="15.75" customHeight="1" x14ac:dyDescent="0.25">
      <c r="A919" s="1"/>
      <c r="B919" s="1"/>
      <c r="C919" s="1"/>
      <c r="D919" s="1"/>
      <c r="E919" s="1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"/>
      <c r="F921" s="1"/>
    </row>
    <row r="922" spans="1:6" ht="15.75" customHeight="1" x14ac:dyDescent="0.25">
      <c r="A922" s="1"/>
      <c r="B922" s="1"/>
      <c r="C922" s="1"/>
      <c r="D922" s="1"/>
      <c r="E922" s="1"/>
      <c r="F922" s="1"/>
    </row>
    <row r="923" spans="1:6" ht="15.75" customHeight="1" x14ac:dyDescent="0.25">
      <c r="A923" s="1"/>
      <c r="B923" s="1"/>
      <c r="C923" s="1"/>
      <c r="D923" s="1"/>
      <c r="E923" s="1"/>
      <c r="F923" s="1"/>
    </row>
    <row r="924" spans="1:6" ht="15.75" customHeight="1" x14ac:dyDescent="0.25">
      <c r="A924" s="1"/>
      <c r="B924" s="1"/>
      <c r="C924" s="1"/>
      <c r="D924" s="1"/>
      <c r="E924" s="1"/>
      <c r="F924" s="1"/>
    </row>
    <row r="925" spans="1:6" ht="15.75" customHeight="1" x14ac:dyDescent="0.25">
      <c r="A925" s="1"/>
      <c r="B925" s="1"/>
      <c r="C925" s="1"/>
      <c r="D925" s="1"/>
      <c r="E925" s="1"/>
      <c r="F925" s="1"/>
    </row>
    <row r="926" spans="1:6" ht="15.75" customHeight="1" x14ac:dyDescent="0.25">
      <c r="A926" s="1"/>
      <c r="B926" s="1"/>
      <c r="C926" s="1"/>
      <c r="D926" s="1"/>
      <c r="E926" s="1"/>
      <c r="F926" s="1"/>
    </row>
    <row r="927" spans="1:6" ht="15.75" customHeight="1" x14ac:dyDescent="0.25">
      <c r="A927" s="1"/>
      <c r="B927" s="1"/>
      <c r="C927" s="1"/>
      <c r="D927" s="1"/>
      <c r="E927" s="1"/>
      <c r="F927" s="1"/>
    </row>
    <row r="928" spans="1:6" ht="15.75" customHeight="1" x14ac:dyDescent="0.25">
      <c r="A928" s="1"/>
      <c r="B928" s="1"/>
      <c r="C928" s="1"/>
      <c r="D928" s="1"/>
      <c r="E928" s="1"/>
      <c r="F928" s="1"/>
    </row>
    <row r="929" spans="1:6" ht="15.75" customHeight="1" x14ac:dyDescent="0.25">
      <c r="A929" s="1"/>
      <c r="B929" s="1"/>
      <c r="C929" s="1"/>
      <c r="D929" s="1"/>
      <c r="E929" s="1"/>
      <c r="F929" s="1"/>
    </row>
    <row r="930" spans="1:6" ht="15.75" customHeight="1" x14ac:dyDescent="0.25">
      <c r="A930" s="1"/>
      <c r="B930" s="1"/>
      <c r="C930" s="1"/>
      <c r="D930" s="1"/>
      <c r="E930" s="1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</sheetData>
  <mergeCells count="5">
    <mergeCell ref="A1:E1"/>
    <mergeCell ref="D5:E5"/>
    <mergeCell ref="G5:H5"/>
    <mergeCell ref="G3:J3"/>
    <mergeCell ref="B2:D2"/>
  </mergeCells>
  <dataValidations count="1">
    <dataValidation type="list" allowBlank="1" showErrorMessage="1" sqref="B11" xr:uid="{00000000-0002-0000-0100-000002000000}">
      <formula1>"3.5%,2.99%(Prime Qual)"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0000000}">
          <x14:formula1>
            <xm:f>Presets!$A$29:$A$33</xm:f>
          </x14:formula1>
          <xm:sqref>B9</xm:sqref>
        </x14:dataValidation>
        <x14:dataValidation type="list" allowBlank="1" xr:uid="{00000000-0002-0000-0100-000001000000}">
          <x14:formula1>
            <xm:f>Presets!$A$16:$A$22</xm:f>
          </x14:formula1>
          <xm:sqref>B8</xm:sqref>
        </x14:dataValidation>
        <x14:dataValidation type="list" allowBlank="1" showErrorMessage="1" xr:uid="{00000000-0002-0000-0100-000003000000}">
          <x14:formula1>
            <xm:f>Presets!$A$5:$A$12</xm:f>
          </x14:formula1>
          <xm:sqref>B6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9F8B-A531-4101-B978-24A199BDBE50}">
  <dimension ref="A1:E13"/>
  <sheetViews>
    <sheetView workbookViewId="0">
      <selection activeCell="E2" sqref="E2"/>
    </sheetView>
  </sheetViews>
  <sheetFormatPr defaultRowHeight="14.25" x14ac:dyDescent="0.2"/>
  <sheetData>
    <row r="1" spans="1:5" x14ac:dyDescent="0.2">
      <c r="B1" s="117" t="s">
        <v>174</v>
      </c>
      <c r="D1" s="117" t="s">
        <v>172</v>
      </c>
      <c r="E1" s="117" t="s">
        <v>175</v>
      </c>
    </row>
    <row r="2" spans="1:5" x14ac:dyDescent="0.2">
      <c r="A2" s="117" t="s">
        <v>173</v>
      </c>
      <c r="D2" s="28">
        <v>912</v>
      </c>
      <c r="E2" s="28">
        <v>418</v>
      </c>
    </row>
    <row r="3" spans="1:5" x14ac:dyDescent="0.2">
      <c r="D3" s="28">
        <v>766</v>
      </c>
      <c r="E3" s="28">
        <v>346</v>
      </c>
    </row>
    <row r="4" spans="1:5" x14ac:dyDescent="0.2">
      <c r="D4" s="28">
        <v>606</v>
      </c>
      <c r="E4" s="28">
        <v>340</v>
      </c>
    </row>
    <row r="5" spans="1:5" x14ac:dyDescent="0.2">
      <c r="D5" s="28">
        <v>496</v>
      </c>
      <c r="E5" s="28">
        <v>322</v>
      </c>
    </row>
    <row r="6" spans="1:5" x14ac:dyDescent="0.2">
      <c r="D6" s="28">
        <v>535</v>
      </c>
      <c r="E6" s="28">
        <v>363</v>
      </c>
    </row>
    <row r="7" spans="1:5" x14ac:dyDescent="0.2">
      <c r="D7" s="28">
        <v>560</v>
      </c>
      <c r="E7" s="28">
        <v>317</v>
      </c>
    </row>
    <row r="8" spans="1:5" x14ac:dyDescent="0.2">
      <c r="D8" s="28">
        <v>716</v>
      </c>
      <c r="E8" s="28">
        <v>384</v>
      </c>
    </row>
    <row r="9" spans="1:5" x14ac:dyDescent="0.2">
      <c r="D9" s="28">
        <v>961</v>
      </c>
      <c r="E9" s="28">
        <v>516</v>
      </c>
    </row>
    <row r="10" spans="1:5" x14ac:dyDescent="0.2">
      <c r="D10" s="28">
        <v>629</v>
      </c>
      <c r="E10" s="28">
        <v>466</v>
      </c>
    </row>
    <row r="11" spans="1:5" x14ac:dyDescent="0.2">
      <c r="D11" s="28">
        <v>573</v>
      </c>
      <c r="E11" s="28">
        <v>388</v>
      </c>
    </row>
    <row r="12" spans="1:5" x14ac:dyDescent="0.2">
      <c r="D12" s="28">
        <v>587</v>
      </c>
      <c r="E12" s="28">
        <v>306</v>
      </c>
    </row>
    <row r="13" spans="1:5" x14ac:dyDescent="0.2">
      <c r="D13" s="28">
        <v>544</v>
      </c>
      <c r="E13" s="28">
        <v>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Z1000"/>
  <sheetViews>
    <sheetView workbookViewId="0">
      <selection activeCell="D32" sqref="D32"/>
    </sheetView>
  </sheetViews>
  <sheetFormatPr defaultColWidth="12.625" defaultRowHeight="15" customHeight="1" x14ac:dyDescent="0.2"/>
  <cols>
    <col min="1" max="1" width="19.25" customWidth="1"/>
    <col min="2" max="2" width="14" customWidth="1"/>
    <col min="3" max="3" width="40.875" customWidth="1"/>
    <col min="4" max="4" width="45.5" customWidth="1"/>
    <col min="5" max="8" width="7.625" customWidth="1"/>
    <col min="9" max="9" width="21.75" customWidth="1"/>
    <col min="10" max="10" width="13.875" customWidth="1"/>
    <col min="11" max="11" width="17.125" customWidth="1"/>
    <col min="12" max="12" width="23.75" customWidth="1"/>
    <col min="13" max="13" width="7.625" customWidth="1"/>
  </cols>
  <sheetData>
    <row r="1" spans="1:26" ht="18.75" x14ac:dyDescent="0.3">
      <c r="A1" s="88" t="s">
        <v>41</v>
      </c>
      <c r="B1" s="85"/>
      <c r="C1" s="85"/>
      <c r="D1" s="8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4" t="s">
        <v>42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4" t="s">
        <v>8</v>
      </c>
      <c r="B4" s="4" t="s">
        <v>43</v>
      </c>
      <c r="C4" s="1"/>
      <c r="D4" s="4" t="s">
        <v>44</v>
      </c>
      <c r="E4" s="1"/>
      <c r="F4" s="1"/>
      <c r="G4" s="1"/>
      <c r="H4" s="1"/>
      <c r="I4" s="5"/>
      <c r="J4" s="6"/>
      <c r="K4" s="5"/>
      <c r="L4" s="6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7" t="s">
        <v>15</v>
      </c>
      <c r="B5" s="8">
        <f>Inputs!K7</f>
        <v>0.35933014354066983</v>
      </c>
      <c r="C5" s="1"/>
      <c r="D5" s="9" t="s">
        <v>45</v>
      </c>
      <c r="E5" s="1"/>
      <c r="F5" s="1"/>
      <c r="G5" s="1"/>
      <c r="H5" s="1"/>
      <c r="I5" s="1"/>
      <c r="J5" s="10"/>
      <c r="K5" s="1"/>
      <c r="L5" s="10"/>
      <c r="M5" s="1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7" t="s">
        <v>46</v>
      </c>
      <c r="B6" s="10">
        <v>0.27679999999999999</v>
      </c>
      <c r="C6" s="11" t="s">
        <v>47</v>
      </c>
      <c r="D6" s="10"/>
      <c r="E6" s="10"/>
      <c r="F6" s="1"/>
      <c r="G6" s="1"/>
      <c r="H6" s="1"/>
      <c r="I6" s="1"/>
      <c r="J6" s="10"/>
      <c r="K6" s="1"/>
      <c r="L6" s="10"/>
      <c r="M6" s="1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7" t="s">
        <v>48</v>
      </c>
      <c r="B7" s="10">
        <v>0.29349999999999998</v>
      </c>
      <c r="C7" s="11" t="s">
        <v>47</v>
      </c>
      <c r="D7" s="10"/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7" t="s">
        <v>49</v>
      </c>
      <c r="B8" s="10">
        <v>0.33600000000000002</v>
      </c>
      <c r="C8" s="11" t="s">
        <v>50</v>
      </c>
      <c r="D8" s="10"/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7" t="s">
        <v>51</v>
      </c>
      <c r="B9" s="10">
        <v>0.29909999999999998</v>
      </c>
      <c r="C9" s="11" t="s">
        <v>50</v>
      </c>
      <c r="D9" s="10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7" t="s">
        <v>52</v>
      </c>
      <c r="B10" s="10">
        <v>0.40079999999999999</v>
      </c>
      <c r="C10" s="11" t="s">
        <v>50</v>
      </c>
      <c r="D10" s="10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7" t="s">
        <v>53</v>
      </c>
      <c r="B11" s="10">
        <v>0.33600000000000002</v>
      </c>
      <c r="C11" s="11" t="s">
        <v>54</v>
      </c>
      <c r="D11" s="10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7" t="s">
        <v>55</v>
      </c>
      <c r="B12" s="10">
        <v>0.33600000000000002</v>
      </c>
      <c r="C12" s="11" t="s">
        <v>56</v>
      </c>
      <c r="D12" s="10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4" t="s">
        <v>57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4" t="s">
        <v>8</v>
      </c>
      <c r="B15" s="4" t="s">
        <v>58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7" t="s">
        <v>15</v>
      </c>
      <c r="B16" s="12">
        <v>0.1124</v>
      </c>
      <c r="C16" s="1" t="s">
        <v>59</v>
      </c>
      <c r="D16" s="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7" t="s">
        <v>60</v>
      </c>
      <c r="B17" s="13">
        <v>6.0100000000000001E-2</v>
      </c>
      <c r="C17" s="7" t="s">
        <v>61</v>
      </c>
      <c r="D17" s="7" t="s">
        <v>62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7" t="s">
        <v>63</v>
      </c>
      <c r="B18" s="13">
        <v>5.3699999999999998E-2</v>
      </c>
      <c r="C18" s="7" t="s">
        <v>64</v>
      </c>
      <c r="D18" s="7" t="s">
        <v>62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7" t="s">
        <v>65</v>
      </c>
      <c r="B19" s="13">
        <v>4.36E-2</v>
      </c>
      <c r="C19" s="7" t="s">
        <v>66</v>
      </c>
      <c r="D19" s="7" t="s">
        <v>62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7" t="s">
        <v>67</v>
      </c>
      <c r="B20" s="13">
        <v>5.57E-2</v>
      </c>
      <c r="C20" s="7" t="s">
        <v>68</v>
      </c>
      <c r="D20" s="7" t="s">
        <v>62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7" t="s">
        <v>69</v>
      </c>
      <c r="B21" s="13">
        <v>4.4999999999999998E-2</v>
      </c>
      <c r="C21" s="7" t="s">
        <v>64</v>
      </c>
      <c r="D21" s="7" t="s">
        <v>62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7" t="s">
        <v>70</v>
      </c>
      <c r="B22" s="13">
        <v>4.8399999999999999E-2</v>
      </c>
      <c r="C22" s="7" t="s">
        <v>71</v>
      </c>
      <c r="D22" s="7" t="s">
        <v>62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4" t="s">
        <v>72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4" t="s">
        <v>8</v>
      </c>
      <c r="B27" s="4" t="s">
        <v>58</v>
      </c>
      <c r="C27" s="1"/>
      <c r="D27" s="1"/>
      <c r="E27" s="1"/>
      <c r="F27" s="1"/>
      <c r="G27" s="1"/>
      <c r="H27" s="1"/>
      <c r="I27" s="5"/>
      <c r="J27" s="6"/>
      <c r="K27" s="5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7" t="s">
        <v>15</v>
      </c>
      <c r="B28" s="14">
        <v>0.08</v>
      </c>
      <c r="C28" s="1"/>
      <c r="D28" s="9" t="s">
        <v>73</v>
      </c>
      <c r="E28" s="1"/>
      <c r="F28" s="1"/>
      <c r="G28" s="1"/>
      <c r="H28" s="1"/>
      <c r="I28" s="1"/>
      <c r="J28" s="1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7" t="s">
        <v>60</v>
      </c>
      <c r="B29" s="14">
        <v>3.6569422099999999E-2</v>
      </c>
      <c r="C29" s="1"/>
      <c r="D29" s="9" t="s">
        <v>74</v>
      </c>
      <c r="E29" s="1"/>
      <c r="F29" s="1"/>
      <c r="G29" s="1"/>
      <c r="H29" s="1"/>
      <c r="I29" s="1"/>
      <c r="J29" s="1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7" t="s">
        <v>67</v>
      </c>
      <c r="B30" s="14">
        <v>3.8873394999999998E-2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7" t="s">
        <v>75</v>
      </c>
      <c r="B31" s="13">
        <v>4.1700000000000001E-2</v>
      </c>
      <c r="C31" s="7" t="s">
        <v>76</v>
      </c>
      <c r="D31" s="7" t="s">
        <v>77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7" t="s">
        <v>20</v>
      </c>
      <c r="B32" s="13">
        <v>2.86E-2</v>
      </c>
      <c r="C32" s="7" t="s">
        <v>78</v>
      </c>
      <c r="D32" s="7" t="s">
        <v>77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7"/>
      <c r="B33" s="13"/>
      <c r="C33" s="7"/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5" t="s">
        <v>79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5" t="s">
        <v>8</v>
      </c>
      <c r="B35" s="15" t="s">
        <v>80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2">
        <v>3.5000000000000003E-2</v>
      </c>
      <c r="B36" s="12">
        <v>3.5000000000000003E-2</v>
      </c>
      <c r="C36" s="1"/>
      <c r="D36" s="1"/>
      <c r="E36" s="1"/>
      <c r="F36" s="1"/>
      <c r="G36" s="1"/>
      <c r="H36" s="1"/>
      <c r="I36" s="1"/>
      <c r="J36" s="1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 t="s">
        <v>23</v>
      </c>
      <c r="B37" s="12">
        <v>2.9899999999999999E-2</v>
      </c>
      <c r="C37" s="16" t="s">
        <v>81</v>
      </c>
      <c r="D37" s="1"/>
      <c r="E37" s="1"/>
      <c r="F37" s="1"/>
      <c r="G37" s="1"/>
      <c r="H37" s="1"/>
      <c r="I37" s="1"/>
      <c r="J37" s="1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1">
    <mergeCell ref="A1:D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000"/>
  <sheetViews>
    <sheetView topLeftCell="C8" zoomScaleNormal="100" workbookViewId="0">
      <selection activeCell="C3" sqref="C3:Q28"/>
    </sheetView>
  </sheetViews>
  <sheetFormatPr defaultColWidth="12.625" defaultRowHeight="15" customHeight="1" x14ac:dyDescent="0.2"/>
  <cols>
    <col min="1" max="1" width="13.125" customWidth="1"/>
    <col min="2" max="2" width="23" style="101" customWidth="1"/>
    <col min="3" max="3" width="15.625" style="23" customWidth="1"/>
    <col min="4" max="4" width="17.375" customWidth="1"/>
    <col min="5" max="5" width="18.5" customWidth="1"/>
    <col min="6" max="6" width="23.25" customWidth="1"/>
    <col min="7" max="7" width="6.75" style="99" customWidth="1"/>
    <col min="8" max="8" width="24" customWidth="1"/>
    <col min="9" max="9" width="26.125" customWidth="1"/>
    <col min="10" max="10" width="22.625" customWidth="1"/>
    <col min="11" max="11" width="19" hidden="1" customWidth="1"/>
    <col min="12" max="12" width="23.75" customWidth="1"/>
    <col min="13" max="13" width="20.875" customWidth="1"/>
    <col min="14" max="14" width="24.875" customWidth="1"/>
    <col min="15" max="15" width="17.25" customWidth="1"/>
    <col min="16" max="16" width="18" customWidth="1"/>
    <col min="17" max="17" width="2.75" customWidth="1"/>
    <col min="18" max="18" width="13.625" bestFit="1" customWidth="1"/>
  </cols>
  <sheetData>
    <row r="1" spans="1:26" ht="18.75" x14ac:dyDescent="0.25">
      <c r="A1" s="89" t="s">
        <v>82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18"/>
      <c r="N1" s="24"/>
      <c r="O1" s="10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9"/>
      <c r="B2" s="20"/>
      <c r="C2" s="20"/>
      <c r="D2" s="19"/>
      <c r="E2" s="19"/>
      <c r="F2" s="19"/>
      <c r="G2" s="93"/>
      <c r="H2" s="19"/>
      <c r="I2" s="19"/>
      <c r="J2" s="19"/>
      <c r="K2" s="19"/>
      <c r="L2" s="19"/>
      <c r="M2" s="19"/>
      <c r="N2" s="24"/>
      <c r="O2" s="105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.75" x14ac:dyDescent="0.3">
      <c r="A3" s="196" t="s">
        <v>3</v>
      </c>
      <c r="B3" s="158" t="s">
        <v>83</v>
      </c>
      <c r="C3" s="158" t="s">
        <v>84</v>
      </c>
      <c r="D3" s="158" t="s">
        <v>85</v>
      </c>
      <c r="E3" s="158" t="s">
        <v>86</v>
      </c>
      <c r="F3" s="158" t="s">
        <v>87</v>
      </c>
      <c r="G3" s="159" t="s">
        <v>88</v>
      </c>
      <c r="H3" s="158" t="s">
        <v>89</v>
      </c>
      <c r="I3" s="158" t="s">
        <v>157</v>
      </c>
      <c r="J3" s="158" t="s">
        <v>90</v>
      </c>
      <c r="K3" s="158" t="s">
        <v>91</v>
      </c>
      <c r="L3" s="158" t="s">
        <v>92</v>
      </c>
      <c r="M3" s="160" t="s">
        <v>148</v>
      </c>
      <c r="N3" s="160" t="s">
        <v>158</v>
      </c>
      <c r="O3" s="160" t="s">
        <v>169</v>
      </c>
      <c r="P3" s="161" t="s">
        <v>151</v>
      </c>
      <c r="Q3" s="162" t="s">
        <v>159</v>
      </c>
      <c r="R3" s="17"/>
      <c r="S3" s="17"/>
      <c r="T3" s="17"/>
      <c r="U3" s="17"/>
      <c r="V3" s="17"/>
      <c r="W3" s="17"/>
      <c r="X3" s="17"/>
      <c r="Y3" s="17"/>
      <c r="Z3" s="17"/>
    </row>
    <row r="4" spans="1:26" ht="17.25" x14ac:dyDescent="0.3">
      <c r="A4" s="197">
        <v>1</v>
      </c>
      <c r="B4" s="106">
        <f>IF($A4&gt;Inputs!$E$12,"",Inputs!$E$6*(1+Inputs!$E$8)^($A4-1))</f>
        <v>0.35933014354066983</v>
      </c>
      <c r="C4" s="107">
        <f>IF($A4&gt;Inputs!$E$12,"",Inputs!$E$7*12)</f>
        <v>4488</v>
      </c>
      <c r="D4" s="108">
        <f>B4*C4</f>
        <v>1612.6736842105263</v>
      </c>
      <c r="E4" s="109">
        <f>(B4*C4*(1-Inputs!$E$13))+(Inputs!$E$10*12-Inputs!$E$14)</f>
        <v>1488.1267368421052</v>
      </c>
      <c r="F4" s="110">
        <f t="shared" ref="F4:F28" si="0">D4-E4</f>
        <v>124.54694736842112</v>
      </c>
      <c r="G4" s="111">
        <f>(Inputs!$E$9)^($A4-1)-100%</f>
        <v>0</v>
      </c>
      <c r="H4" s="108">
        <f>D4/(G4+100%)</f>
        <v>1612.6736842105263</v>
      </c>
      <c r="I4" s="109">
        <f>E4/(G4+100%)</f>
        <v>1488.1267368421052</v>
      </c>
      <c r="J4" s="112">
        <f>D4-E4</f>
        <v>124.54694736842112</v>
      </c>
      <c r="K4" s="112">
        <f t="shared" ref="K4:K28" si="1">H4-I4</f>
        <v>124.54694736842112</v>
      </c>
      <c r="L4" s="112">
        <f>K4</f>
        <v>124.54694736842112</v>
      </c>
      <c r="M4" s="113">
        <f>E4/12</f>
        <v>124.01056140350876</v>
      </c>
      <c r="N4" s="114">
        <f>(E4+800)/12</f>
        <v>190.6772280701754</v>
      </c>
      <c r="O4" s="115">
        <f>D4/12</f>
        <v>134.38947368421051</v>
      </c>
      <c r="P4" s="116">
        <f>D4/E4-1</f>
        <v>8.3693777072184838E-2</v>
      </c>
      <c r="Q4" s="116">
        <f>O4/N4-1</f>
        <v>-0.29519914336728859</v>
      </c>
      <c r="R4" s="17"/>
      <c r="S4" s="1"/>
      <c r="T4" s="1"/>
      <c r="U4" s="1"/>
      <c r="V4" s="1"/>
      <c r="W4" s="1"/>
      <c r="X4" s="1"/>
      <c r="Y4" s="1"/>
      <c r="Z4" s="1"/>
    </row>
    <row r="5" spans="1:26" ht="17.25" x14ac:dyDescent="0.3">
      <c r="A5" s="197">
        <v>2</v>
      </c>
      <c r="B5" s="106">
        <f>IF($A5&gt;Inputs!$E$12,"",Inputs!$E$6*(1+Inputs!$E$8)^($A5-1))</f>
        <v>0.37672172248803826</v>
      </c>
      <c r="C5" s="107">
        <f>IF($A5&gt;Inputs!$E$12,"",Inputs!$E$7*12)</f>
        <v>4488</v>
      </c>
      <c r="D5" s="108">
        <f>B5*C5</f>
        <v>1690.7270905263158</v>
      </c>
      <c r="E5" s="109">
        <f>(B5*C5*(1-Inputs!$E$13))+(Inputs!$E$10*12-Inputs!$E$14)*((1+Inputs!$E$11)^($A4))</f>
        <v>1540.4272709052632</v>
      </c>
      <c r="F5" s="110">
        <f t="shared" si="0"/>
        <v>150.29981962105262</v>
      </c>
      <c r="G5" s="111">
        <f>(1+Inputs!$E$9)^($A5-1)-100%</f>
        <v>2.8599999999999959E-2</v>
      </c>
      <c r="H5" s="108">
        <f>D5/(G5+100%)</f>
        <v>1643.7167903230759</v>
      </c>
      <c r="I5" s="109">
        <f>E5/(G5+100%)</f>
        <v>1497.5960246016559</v>
      </c>
      <c r="J5" s="112">
        <f t="shared" ref="J5:J28" si="2">J4+F5</f>
        <v>274.84676698947374</v>
      </c>
      <c r="K5" s="112">
        <f t="shared" si="1"/>
        <v>146.12076572141996</v>
      </c>
      <c r="L5" s="112">
        <f t="shared" ref="L5:L28" si="3">L4+K5</f>
        <v>270.66771308984107</v>
      </c>
      <c r="M5" s="113">
        <f t="shared" ref="M5:M28" si="4">E5/12</f>
        <v>128.36893924210526</v>
      </c>
      <c r="N5" s="114">
        <f t="shared" ref="N5:N28" si="5">(E5+800)/12</f>
        <v>195.03560590877191</v>
      </c>
      <c r="O5" s="115">
        <f t="shared" ref="O5:O28" si="6">D5/12</f>
        <v>140.89392421052631</v>
      </c>
      <c r="P5" s="116">
        <f t="shared" ref="P5:P28" si="7">D5/E5-1</f>
        <v>9.7570214744851835E-2</v>
      </c>
      <c r="Q5" s="116">
        <f t="shared" ref="Q5:Q28" si="8">O5/N5-1</f>
        <v>-0.27759896171763854</v>
      </c>
      <c r="R5" s="17"/>
      <c r="S5" s="1"/>
      <c r="T5" s="1"/>
      <c r="U5" s="1"/>
      <c r="V5" s="1"/>
      <c r="W5" s="1"/>
      <c r="X5" s="1"/>
      <c r="Y5" s="1"/>
      <c r="Z5" s="1"/>
    </row>
    <row r="6" spans="1:26" ht="17.25" x14ac:dyDescent="0.3">
      <c r="A6" s="197">
        <v>3</v>
      </c>
      <c r="B6" s="106">
        <f>IF($A6&gt;Inputs!$E$12,"",Inputs!$E$6*(1+Inputs!$E$8)^($A6-1))</f>
        <v>0.39495505385645929</v>
      </c>
      <c r="C6" s="107">
        <f>IF($A6&gt;Inputs!$E$12,"",Inputs!$E$7*12)</f>
        <v>4488</v>
      </c>
      <c r="D6" s="108">
        <f>B6*C6</f>
        <v>1772.5582817077893</v>
      </c>
      <c r="E6" s="109">
        <f>(B6*C6*(1-Inputs!$E$13))+(Inputs!$E$10*12-Inputs!$E$14)*((1+Inputs!$E$11)^($A5))</f>
        <v>1594.5687828170778</v>
      </c>
      <c r="F6" s="110">
        <f t="shared" si="0"/>
        <v>177.9894988907115</v>
      </c>
      <c r="G6" s="111">
        <f>(1+Inputs!$E$9)^($A6-1)-100%</f>
        <v>5.8017959999999924E-2</v>
      </c>
      <c r="H6" s="108">
        <f t="shared" ref="H6:H28" si="9">D6/(G6+100%)</f>
        <v>1675.3574596293142</v>
      </c>
      <c r="I6" s="109">
        <f t="shared" ref="I6:I28" si="10">E6/(G6+100%)</f>
        <v>1507.128274851854</v>
      </c>
      <c r="J6" s="112">
        <f t="shared" si="2"/>
        <v>452.83626588018524</v>
      </c>
      <c r="K6" s="112">
        <f t="shared" si="1"/>
        <v>168.2291847774602</v>
      </c>
      <c r="L6" s="112">
        <f t="shared" si="3"/>
        <v>438.89689786730128</v>
      </c>
      <c r="M6" s="113">
        <f t="shared" si="4"/>
        <v>132.88073190142316</v>
      </c>
      <c r="N6" s="114">
        <f t="shared" si="5"/>
        <v>199.54739856808979</v>
      </c>
      <c r="O6" s="115">
        <f t="shared" si="6"/>
        <v>147.71319014231577</v>
      </c>
      <c r="P6" s="116">
        <f t="shared" si="7"/>
        <v>0.11162234003870486</v>
      </c>
      <c r="Q6" s="116">
        <f t="shared" si="8"/>
        <v>-0.25975887833028855</v>
      </c>
      <c r="R6" s="17"/>
      <c r="S6" s="1"/>
      <c r="T6" s="1"/>
      <c r="U6" s="1"/>
      <c r="V6" s="1"/>
      <c r="W6" s="1"/>
      <c r="X6" s="1"/>
      <c r="Y6" s="1"/>
      <c r="Z6" s="1"/>
    </row>
    <row r="7" spans="1:26" ht="17.25" x14ac:dyDescent="0.3">
      <c r="A7" s="197">
        <v>4</v>
      </c>
      <c r="B7" s="106">
        <f>IF($A7&gt;Inputs!$E$12,"",Inputs!$E$6*(1+Inputs!$E$8)^($A7-1))</f>
        <v>0.41407087846311197</v>
      </c>
      <c r="C7" s="107">
        <f>IF($A7&gt;Inputs!$E$12,"",Inputs!$E$7*12)</f>
        <v>4488</v>
      </c>
      <c r="D7" s="108">
        <f>B7*C7</f>
        <v>1858.3501025424466</v>
      </c>
      <c r="E7" s="109">
        <f>(B7*C7*(1-Inputs!$E$13))+(Inputs!$E$10*12-Inputs!$E$14)*((1+Inputs!$E$11)^($A6))</f>
        <v>1650.6162130254243</v>
      </c>
      <c r="F7" s="110">
        <f t="shared" si="0"/>
        <v>207.73388951702236</v>
      </c>
      <c r="G7" s="111">
        <f>(1+Inputs!$E$9)^($A7-1)-100%</f>
        <v>8.8277273655999799E-2</v>
      </c>
      <c r="H7" s="108">
        <f t="shared" si="9"/>
        <v>1707.6071949011994</v>
      </c>
      <c r="I7" s="109">
        <f t="shared" si="10"/>
        <v>1516.723957195469</v>
      </c>
      <c r="J7" s="112">
        <f t="shared" si="2"/>
        <v>660.5701553972076</v>
      </c>
      <c r="K7" s="112">
        <f t="shared" si="1"/>
        <v>190.88323770573038</v>
      </c>
      <c r="L7" s="112">
        <f t="shared" si="3"/>
        <v>629.78013557303166</v>
      </c>
      <c r="M7" s="113">
        <f t="shared" si="4"/>
        <v>137.55135108545201</v>
      </c>
      <c r="N7" s="114">
        <f t="shared" si="5"/>
        <v>204.2180177521187</v>
      </c>
      <c r="O7" s="115">
        <f t="shared" si="6"/>
        <v>154.86250854520389</v>
      </c>
      <c r="P7" s="116">
        <f t="shared" si="7"/>
        <v>0.12585232586336081</v>
      </c>
      <c r="Q7" s="116">
        <f t="shared" si="8"/>
        <v>-0.24168048319234436</v>
      </c>
      <c r="R7" s="17"/>
      <c r="S7" s="1"/>
      <c r="T7" s="1"/>
      <c r="U7" s="1"/>
      <c r="V7" s="1"/>
      <c r="W7" s="1"/>
      <c r="X7" s="1"/>
      <c r="Y7" s="1"/>
      <c r="Z7" s="1"/>
    </row>
    <row r="8" spans="1:26" ht="17.25" x14ac:dyDescent="0.3">
      <c r="A8" s="197">
        <v>5</v>
      </c>
      <c r="B8" s="106">
        <f>IF($A8&gt;Inputs!$E$12,"",Inputs!$E$6*(1+Inputs!$E$8)^($A8-1))</f>
        <v>0.43411190898072655</v>
      </c>
      <c r="C8" s="107">
        <f>IF($A8&gt;Inputs!$E$12,"",Inputs!$E$7*12)</f>
        <v>4488</v>
      </c>
      <c r="D8" s="108">
        <f>B8*C8</f>
        <v>1948.2942475055008</v>
      </c>
      <c r="E8" s="109">
        <f>(B8*C8*(1-Inputs!$E$13))+(Inputs!$E$10*12-Inputs!$E$14)*((1+Inputs!$E$11)^($A7))</f>
        <v>1708.6367993950546</v>
      </c>
      <c r="F8" s="110">
        <f t="shared" si="0"/>
        <v>239.65744811044624</v>
      </c>
      <c r="G8" s="111">
        <f>(1+Inputs!$E$9)^($A8-1)-100%</f>
        <v>0.11940200368256138</v>
      </c>
      <c r="H8" s="108">
        <f t="shared" si="9"/>
        <v>1740.4777203328963</v>
      </c>
      <c r="I8" s="109">
        <f t="shared" si="10"/>
        <v>1526.3835456556747</v>
      </c>
      <c r="J8" s="112">
        <f>J7+F8</f>
        <v>900.22760350765384</v>
      </c>
      <c r="K8" s="112">
        <f t="shared" si="1"/>
        <v>214.09417467722164</v>
      </c>
      <c r="L8" s="112">
        <f t="shared" si="3"/>
        <v>843.8743102502533</v>
      </c>
      <c r="M8" s="113">
        <f t="shared" si="4"/>
        <v>142.38639994958788</v>
      </c>
      <c r="N8" s="114">
        <f t="shared" si="5"/>
        <v>209.05306661625454</v>
      </c>
      <c r="O8" s="115">
        <f t="shared" si="6"/>
        <v>162.35785395879174</v>
      </c>
      <c r="P8" s="116">
        <f t="shared" si="7"/>
        <v>0.1402623706777808</v>
      </c>
      <c r="Q8" s="116">
        <f t="shared" si="8"/>
        <v>-0.22336535604702823</v>
      </c>
      <c r="R8" s="17"/>
      <c r="S8" s="1"/>
      <c r="T8" s="1"/>
      <c r="U8" s="1"/>
      <c r="V8" s="1"/>
      <c r="W8" s="1"/>
      <c r="X8" s="1"/>
      <c r="Y8" s="1"/>
      <c r="Z8" s="1"/>
    </row>
    <row r="9" spans="1:26" ht="17.25" x14ac:dyDescent="0.3">
      <c r="A9" s="197">
        <v>6</v>
      </c>
      <c r="B9" s="106">
        <f>IF($A9&gt;Inputs!$E$12,"",Inputs!$E$6*(1+Inputs!$E$8)^($A9-1))</f>
        <v>0.45512292537539378</v>
      </c>
      <c r="C9" s="107">
        <f>IF($A9&gt;Inputs!$E$12,"",Inputs!$E$7*12)</f>
        <v>4488</v>
      </c>
      <c r="D9" s="108">
        <f>B9*C9</f>
        <v>2042.5916890847673</v>
      </c>
      <c r="E9" s="109">
        <f>(B9*C9*(1-Inputs!$E$13))+(Inputs!$E$10*12-Inputs!$E$14)*((1+Inputs!$E$11)^($A8))</f>
        <v>1768.7001588030469</v>
      </c>
      <c r="F9" s="110">
        <f t="shared" si="0"/>
        <v>273.89153028172041</v>
      </c>
      <c r="G9" s="111">
        <f>(1+Inputs!$E$9)^($A9-1)-100%</f>
        <v>0.15141690098788252</v>
      </c>
      <c r="H9" s="108">
        <f t="shared" si="9"/>
        <v>1773.9809858030419</v>
      </c>
      <c r="I9" s="109">
        <f t="shared" si="10"/>
        <v>1536.1075187324011</v>
      </c>
      <c r="J9" s="112">
        <f t="shared" si="2"/>
        <v>1174.1191337893742</v>
      </c>
      <c r="K9" s="112">
        <f t="shared" si="1"/>
        <v>237.8734670706408</v>
      </c>
      <c r="L9" s="112">
        <f t="shared" si="3"/>
        <v>1081.7477773208941</v>
      </c>
      <c r="M9" s="113">
        <f t="shared" si="4"/>
        <v>147.39167990025391</v>
      </c>
      <c r="N9" s="114">
        <f t="shared" si="5"/>
        <v>214.05834656692059</v>
      </c>
      <c r="O9" s="115">
        <f t="shared" si="6"/>
        <v>170.21597409039728</v>
      </c>
      <c r="P9" s="116">
        <f t="shared" si="7"/>
        <v>0.15485469875633084</v>
      </c>
      <c r="Q9" s="116">
        <f t="shared" si="8"/>
        <v>-0.20481505710788517</v>
      </c>
      <c r="R9" s="17"/>
      <c r="S9" s="1"/>
      <c r="T9" s="1"/>
      <c r="U9" s="1"/>
      <c r="V9" s="1"/>
      <c r="W9" s="1"/>
      <c r="X9" s="1"/>
      <c r="Y9" s="1"/>
      <c r="Z9" s="1"/>
    </row>
    <row r="10" spans="1:26" ht="17.25" x14ac:dyDescent="0.3">
      <c r="A10" s="197">
        <v>7</v>
      </c>
      <c r="B10" s="106">
        <f>IF($A10&gt;Inputs!$E$12,"",Inputs!$E$6*(1+Inputs!$E$8)^($A10-1))</f>
        <v>0.47715087496356273</v>
      </c>
      <c r="C10" s="107">
        <f>IF($A10&gt;Inputs!$E$12,"",Inputs!$E$7*12)</f>
        <v>4488</v>
      </c>
      <c r="D10" s="108">
        <f>B10*C10</f>
        <v>2141.4531268364694</v>
      </c>
      <c r="E10" s="109">
        <f>(B10*C10*(1-Inputs!$E$13))+(Inputs!$E$10*12-Inputs!$E$14)*((1+Inputs!$E$11)^($A9))</f>
        <v>1830.8783716474911</v>
      </c>
      <c r="F10" s="110">
        <f t="shared" si="0"/>
        <v>310.57475518897832</v>
      </c>
      <c r="G10" s="111">
        <f>(1+Inputs!$E$9)^($A10-1)-100%</f>
        <v>0.18434742435613605</v>
      </c>
      <c r="H10" s="108">
        <f t="shared" si="9"/>
        <v>1808.1291712190439</v>
      </c>
      <c r="I10" s="109">
        <f t="shared" si="10"/>
        <v>1545.8963594595884</v>
      </c>
      <c r="J10" s="112">
        <f t="shared" si="2"/>
        <v>1484.6938889783526</v>
      </c>
      <c r="K10" s="112">
        <f t="shared" si="1"/>
        <v>262.23281175945544</v>
      </c>
      <c r="L10" s="112">
        <f t="shared" si="3"/>
        <v>1343.9805890803495</v>
      </c>
      <c r="M10" s="113">
        <f t="shared" si="4"/>
        <v>152.57319763729092</v>
      </c>
      <c r="N10" s="114">
        <f t="shared" si="5"/>
        <v>219.23986430395757</v>
      </c>
      <c r="O10" s="115">
        <f t="shared" si="6"/>
        <v>178.45442723637245</v>
      </c>
      <c r="P10" s="116">
        <f t="shared" si="7"/>
        <v>0.16963156045669581</v>
      </c>
      <c r="Q10" s="116">
        <f t="shared" si="8"/>
        <v>-0.18603111800434047</v>
      </c>
      <c r="R10" s="17"/>
      <c r="S10" s="1"/>
      <c r="T10" s="1"/>
      <c r="U10" s="1"/>
      <c r="V10" s="1"/>
      <c r="W10" s="1"/>
      <c r="X10" s="1"/>
      <c r="Y10" s="1"/>
      <c r="Z10" s="1"/>
    </row>
    <row r="11" spans="1:26" ht="17.25" x14ac:dyDescent="0.3">
      <c r="A11" s="197">
        <v>8</v>
      </c>
      <c r="B11" s="106">
        <f>IF($A11&gt;Inputs!$E$12,"",Inputs!$E$6*(1+Inputs!$E$8)^($A11-1))</f>
        <v>0.50024497731179929</v>
      </c>
      <c r="C11" s="107">
        <f>IF($A11&gt;Inputs!$E$12,"",Inputs!$E$7*12)</f>
        <v>4488</v>
      </c>
      <c r="D11" s="108">
        <f>B11*C11</f>
        <v>2245.0994581753553</v>
      </c>
      <c r="E11" s="109">
        <f>(B11*C11*(1-Inputs!$E$13))+(Inputs!$E$10*12-Inputs!$E$14)*((1+Inputs!$E$11)^($A10))</f>
        <v>1895.2460693741491</v>
      </c>
      <c r="F11" s="110">
        <f t="shared" si="0"/>
        <v>349.85338880120617</v>
      </c>
      <c r="G11" s="111">
        <f>(1+Inputs!$E$9)^($A11-1)-100%</f>
        <v>0.21821976069272142</v>
      </c>
      <c r="H11" s="108">
        <f t="shared" si="9"/>
        <v>1842.9346909450187</v>
      </c>
      <c r="I11" s="109">
        <f t="shared" si="10"/>
        <v>1555.7505554633651</v>
      </c>
      <c r="J11" s="112">
        <f t="shared" si="2"/>
        <v>1834.5472777795587</v>
      </c>
      <c r="K11" s="112">
        <f t="shared" si="1"/>
        <v>287.18413548165358</v>
      </c>
      <c r="L11" s="112">
        <f t="shared" si="3"/>
        <v>1631.1647245620031</v>
      </c>
      <c r="M11" s="113">
        <f t="shared" si="4"/>
        <v>157.93717244784577</v>
      </c>
      <c r="N11" s="114">
        <f t="shared" si="5"/>
        <v>224.60383911451243</v>
      </c>
      <c r="O11" s="115">
        <f t="shared" si="6"/>
        <v>187.09162151461294</v>
      </c>
      <c r="P11" s="116">
        <f t="shared" si="7"/>
        <v>0.18459523248964471</v>
      </c>
      <c r="Q11" s="116">
        <f t="shared" si="8"/>
        <v>-0.16701503299226417</v>
      </c>
      <c r="R11" s="17"/>
      <c r="S11" s="1"/>
      <c r="T11" s="1"/>
      <c r="U11" s="1"/>
      <c r="V11" s="1"/>
      <c r="W11" s="1"/>
      <c r="X11" s="1"/>
      <c r="Y11" s="1"/>
      <c r="Z11" s="1"/>
    </row>
    <row r="12" spans="1:26" ht="17.25" x14ac:dyDescent="0.3">
      <c r="A12" s="197">
        <v>9</v>
      </c>
      <c r="B12" s="106">
        <f>IF($A12&gt;Inputs!$E$12,"",Inputs!$E$6*(1+Inputs!$E$8)^($A12-1))</f>
        <v>0.52445683421369027</v>
      </c>
      <c r="C12" s="107">
        <f>IF($A12&gt;Inputs!$E$12,"",Inputs!$E$7*12)</f>
        <v>4488</v>
      </c>
      <c r="D12" s="108">
        <f>B12*C12</f>
        <v>2353.7622719510418</v>
      </c>
      <c r="E12" s="109">
        <f>(B12*C12*(1-Inputs!$E$13))+(Inputs!$E$10*12-Inputs!$E$14)*((1+Inputs!$E$11)^($A11))</f>
        <v>1961.8805251296394</v>
      </c>
      <c r="F12" s="110">
        <f t="shared" si="0"/>
        <v>391.88174682140243</v>
      </c>
      <c r="G12" s="111">
        <f>(1+Inputs!$E$9)^($A12-1)-100%</f>
        <v>0.25306084584853306</v>
      </c>
      <c r="H12" s="108">
        <f t="shared" si="9"/>
        <v>1878.4101983149499</v>
      </c>
      <c r="I12" s="109">
        <f t="shared" si="10"/>
        <v>1565.6705990211642</v>
      </c>
      <c r="J12" s="112">
        <f t="shared" si="2"/>
        <v>2226.4290246009614</v>
      </c>
      <c r="K12" s="112">
        <f t="shared" si="1"/>
        <v>312.73959929378566</v>
      </c>
      <c r="L12" s="112">
        <f t="shared" si="3"/>
        <v>1943.9043238557888</v>
      </c>
      <c r="M12" s="113">
        <f t="shared" si="4"/>
        <v>163.49004376080327</v>
      </c>
      <c r="N12" s="114">
        <f t="shared" si="5"/>
        <v>230.15671042746996</v>
      </c>
      <c r="O12" s="115">
        <f t="shared" si="6"/>
        <v>196.14685599592016</v>
      </c>
      <c r="P12" s="116">
        <f t="shared" si="7"/>
        <v>0.19974801819061194</v>
      </c>
      <c r="Q12" s="116">
        <f t="shared" si="8"/>
        <v>-0.14776825046023345</v>
      </c>
      <c r="R12" s="17"/>
      <c r="S12" s="1"/>
      <c r="T12" s="1"/>
      <c r="U12" s="1"/>
      <c r="V12" s="1"/>
      <c r="W12" s="1"/>
      <c r="X12" s="1"/>
      <c r="Y12" s="1"/>
      <c r="Z12" s="1"/>
    </row>
    <row r="13" spans="1:26" ht="17.25" x14ac:dyDescent="0.3">
      <c r="A13" s="197">
        <v>10</v>
      </c>
      <c r="B13" s="106">
        <f>IF($A13&gt;Inputs!$E$12,"",Inputs!$E$6*(1+Inputs!$E$8)^($A13-1))</f>
        <v>0.54984054498963286</v>
      </c>
      <c r="C13" s="107">
        <f>IF($A13&gt;Inputs!$E$12,"",Inputs!$E$7*12)</f>
        <v>4488</v>
      </c>
      <c r="D13" s="108">
        <f>B13*C13</f>
        <v>2467.6843659134724</v>
      </c>
      <c r="E13" s="109">
        <f>(B13*C13*(1-Inputs!$E$13))+(Inputs!$E$10*12-Inputs!$E$14)*((1+Inputs!$E$11)^($A12))</f>
        <v>2030.8617476536178</v>
      </c>
      <c r="F13" s="110">
        <f t="shared" si="0"/>
        <v>436.82261825985461</v>
      </c>
      <c r="G13" s="111">
        <f>(1+Inputs!$E$9)^($A13-1)-100%</f>
        <v>0.28889838603980111</v>
      </c>
      <c r="H13" s="108">
        <f t="shared" si="9"/>
        <v>1914.5685902327373</v>
      </c>
      <c r="I13" s="109">
        <f t="shared" si="10"/>
        <v>1575.6569871217955</v>
      </c>
      <c r="J13" s="112">
        <f t="shared" si="2"/>
        <v>2663.251642860816</v>
      </c>
      <c r="K13" s="112">
        <f t="shared" si="1"/>
        <v>338.91160311094177</v>
      </c>
      <c r="L13" s="112">
        <f t="shared" si="3"/>
        <v>2282.8159269667303</v>
      </c>
      <c r="M13" s="113">
        <f t="shared" si="4"/>
        <v>169.23847897113481</v>
      </c>
      <c r="N13" s="114">
        <f t="shared" si="5"/>
        <v>235.9051456378015</v>
      </c>
      <c r="O13" s="115">
        <f t="shared" si="6"/>
        <v>205.64036382612269</v>
      </c>
      <c r="P13" s="116">
        <f t="shared" si="7"/>
        <v>0.21509224779310721</v>
      </c>
      <c r="Q13" s="116">
        <f t="shared" si="8"/>
        <v>-0.12829216475907668</v>
      </c>
      <c r="R13" s="17"/>
      <c r="S13" s="1"/>
      <c r="T13" s="1"/>
      <c r="U13" s="1"/>
      <c r="V13" s="1"/>
      <c r="W13" s="1"/>
      <c r="X13" s="1"/>
      <c r="Y13" s="1"/>
      <c r="Z13" s="1"/>
    </row>
    <row r="14" spans="1:26" ht="17.25" x14ac:dyDescent="0.3">
      <c r="A14" s="197">
        <v>11</v>
      </c>
      <c r="B14" s="106">
        <f>IF($A14&gt;Inputs!$E$12,"",Inputs!$E$6*(1+Inputs!$E$8)^($A14-1))</f>
        <v>0.57645282736713122</v>
      </c>
      <c r="C14" s="107">
        <f>IF($A14&gt;Inputs!$E$12,"",Inputs!$E$7*12)</f>
        <v>4488</v>
      </c>
      <c r="D14" s="108">
        <f>B14*C14</f>
        <v>2587.1202892236847</v>
      </c>
      <c r="E14" s="109">
        <f>(B14*C14*(1-Inputs!$E$13))+(Inputs!$E$10*12-Inputs!$E$14)*((1+Inputs!$E$11)^($A13))</f>
        <v>2102.272578526527</v>
      </c>
      <c r="F14" s="110">
        <f t="shared" si="0"/>
        <v>484.84771069715771</v>
      </c>
      <c r="G14" s="111">
        <f>(1+Inputs!$E$9)^($A14-1)-100%</f>
        <v>0.32576087988053937</v>
      </c>
      <c r="H14" s="108">
        <f t="shared" si="9"/>
        <v>1951.4230118607836</v>
      </c>
      <c r="I14" s="109">
        <f t="shared" si="10"/>
        <v>1585.710221526492</v>
      </c>
      <c r="J14" s="112">
        <f t="shared" si="2"/>
        <v>3148.0993535579737</v>
      </c>
      <c r="K14" s="112">
        <f t="shared" si="1"/>
        <v>365.71279033429164</v>
      </c>
      <c r="L14" s="112">
        <f t="shared" si="3"/>
        <v>2648.528717301022</v>
      </c>
      <c r="M14" s="113">
        <f t="shared" si="4"/>
        <v>175.18938154387726</v>
      </c>
      <c r="N14" s="114">
        <f t="shared" si="5"/>
        <v>241.85604821054392</v>
      </c>
      <c r="O14" s="115">
        <f t="shared" si="6"/>
        <v>215.59335743530707</v>
      </c>
      <c r="P14" s="116">
        <f t="shared" si="7"/>
        <v>0.23063027870390873</v>
      </c>
      <c r="Q14" s="116">
        <f t="shared" si="8"/>
        <v>-0.10858810837913913</v>
      </c>
      <c r="R14" s="17"/>
      <c r="S14" s="1"/>
      <c r="T14" s="1"/>
      <c r="U14" s="1"/>
      <c r="V14" s="1"/>
      <c r="W14" s="1"/>
      <c r="X14" s="1"/>
      <c r="Y14" s="1"/>
      <c r="Z14" s="1"/>
    </row>
    <row r="15" spans="1:26" ht="17.25" x14ac:dyDescent="0.3">
      <c r="A15" s="197">
        <v>12</v>
      </c>
      <c r="B15" s="106">
        <f>IF($A15&gt;Inputs!$E$12,"",Inputs!$E$6*(1+Inputs!$E$8)^($A15-1))</f>
        <v>0.60435314421170028</v>
      </c>
      <c r="C15" s="107">
        <f>IF($A15&gt;Inputs!$E$12,"",Inputs!$E$7*12)</f>
        <v>4488</v>
      </c>
      <c r="D15" s="108">
        <f>B15*C15</f>
        <v>2712.3369112221108</v>
      </c>
      <c r="E15" s="109">
        <f>(B15*C15*(1-Inputs!$E$13))+(Inputs!$E$10*12-Inputs!$E$14)*((1+Inputs!$E$11)^($A14))</f>
        <v>2176.1987928937115</v>
      </c>
      <c r="F15" s="110">
        <f t="shared" si="0"/>
        <v>536.13811832839929</v>
      </c>
      <c r="G15" s="111">
        <f>(1+Inputs!$E$9)^($A15-1)-100%</f>
        <v>0.36367764104512257</v>
      </c>
      <c r="H15" s="108">
        <f t="shared" si="9"/>
        <v>1988.986861398839</v>
      </c>
      <c r="I15" s="109">
        <f t="shared" si="10"/>
        <v>1595.8308088309439</v>
      </c>
      <c r="J15" s="112">
        <f t="shared" si="2"/>
        <v>3684.237471886373</v>
      </c>
      <c r="K15" s="112">
        <f t="shared" si="1"/>
        <v>393.15605256789513</v>
      </c>
      <c r="L15" s="112">
        <f t="shared" si="3"/>
        <v>3041.6847698689171</v>
      </c>
      <c r="M15" s="113">
        <f t="shared" si="4"/>
        <v>181.34989940780929</v>
      </c>
      <c r="N15" s="114">
        <f t="shared" si="5"/>
        <v>248.01656607447595</v>
      </c>
      <c r="O15" s="115">
        <f t="shared" si="6"/>
        <v>226.02807593517591</v>
      </c>
      <c r="P15" s="116">
        <f t="shared" si="7"/>
        <v>0.24636449578004394</v>
      </c>
      <c r="Q15" s="116">
        <f t="shared" si="8"/>
        <v>-8.8657344496484991E-2</v>
      </c>
      <c r="R15" s="17"/>
      <c r="S15" s="1"/>
      <c r="T15" s="1"/>
      <c r="U15" s="1"/>
      <c r="V15" s="1"/>
      <c r="W15" s="1"/>
      <c r="X15" s="1"/>
      <c r="Y15" s="1"/>
      <c r="Z15" s="1"/>
    </row>
    <row r="16" spans="1:26" ht="17.25" x14ac:dyDescent="0.3">
      <c r="A16" s="197">
        <v>13</v>
      </c>
      <c r="B16" s="106">
        <f>IF($A16&gt;Inputs!$E$12,"",Inputs!$E$6*(1+Inputs!$E$8)^($A16-1))</f>
        <v>0.6336038363915466</v>
      </c>
      <c r="C16" s="107">
        <f>IF($A16&gt;Inputs!$E$12,"",Inputs!$E$7*12)</f>
        <v>4488</v>
      </c>
      <c r="D16" s="108">
        <f>B16*C16</f>
        <v>2843.614017725261</v>
      </c>
      <c r="E16" s="109">
        <f>(B16*C16*(1-Inputs!$E$13))+(Inputs!$E$10*12-Inputs!$E$14)*((1+Inputs!$E$11)^($A15))</f>
        <v>2252.7292037910952</v>
      </c>
      <c r="F16" s="110">
        <f t="shared" si="0"/>
        <v>590.88481393416578</v>
      </c>
      <c r="G16" s="111">
        <f>(1+Inputs!$E$9)^($A16-1)-100%</f>
        <v>0.40267882157901314</v>
      </c>
      <c r="H16" s="108">
        <f t="shared" si="9"/>
        <v>2027.2737949548343</v>
      </c>
      <c r="I16" s="109">
        <f t="shared" si="10"/>
        <v>1606.0192605283437</v>
      </c>
      <c r="J16" s="112">
        <f t="shared" si="2"/>
        <v>4275.1222858205383</v>
      </c>
      <c r="K16" s="112">
        <f t="shared" si="1"/>
        <v>421.25453442649064</v>
      </c>
      <c r="L16" s="112">
        <f t="shared" si="3"/>
        <v>3462.939304295408</v>
      </c>
      <c r="M16" s="113">
        <f t="shared" si="4"/>
        <v>187.72743364925793</v>
      </c>
      <c r="N16" s="114">
        <f t="shared" si="5"/>
        <v>254.39410031592459</v>
      </c>
      <c r="O16" s="115">
        <f t="shared" si="6"/>
        <v>236.9678348104384</v>
      </c>
      <c r="P16" s="116">
        <f t="shared" si="7"/>
        <v>0.26229731160752556</v>
      </c>
      <c r="Q16" s="116">
        <f t="shared" si="8"/>
        <v>-6.8501059906047379E-2</v>
      </c>
      <c r="R16" s="17"/>
      <c r="S16" s="1"/>
      <c r="T16" s="1"/>
      <c r="U16" s="1"/>
      <c r="V16" s="1"/>
      <c r="W16" s="1"/>
      <c r="X16" s="1"/>
      <c r="Y16" s="1"/>
      <c r="Z16" s="1"/>
    </row>
    <row r="17" spans="1:26" ht="17.25" x14ac:dyDescent="0.3">
      <c r="A17" s="197">
        <v>14</v>
      </c>
      <c r="B17" s="106">
        <f>IF($A17&gt;Inputs!$E$12,"",Inputs!$E$6*(1+Inputs!$E$8)^($A17-1))</f>
        <v>0.66427026207289752</v>
      </c>
      <c r="C17" s="107">
        <f>IF($A17&gt;Inputs!$E$12,"",Inputs!$E$7*12)</f>
        <v>4488</v>
      </c>
      <c r="D17" s="108">
        <f>B17*C17</f>
        <v>2981.2449361831641</v>
      </c>
      <c r="E17" s="109">
        <f>(B17*C17*(1-Inputs!$E$13))+(Inputs!$E$10*12-Inputs!$E$14)*((1+Inputs!$E$11)^($A16))</f>
        <v>2331.955770202158</v>
      </c>
      <c r="F17" s="110">
        <f t="shared" si="0"/>
        <v>649.28916598100614</v>
      </c>
      <c r="G17" s="111">
        <f>(1+Inputs!$E$9)^($A17-1)-100%</f>
        <v>0.44279543587617276</v>
      </c>
      <c r="H17" s="108">
        <f t="shared" si="9"/>
        <v>2066.2977315094777</v>
      </c>
      <c r="I17" s="109">
        <f t="shared" si="10"/>
        <v>1616.2760930734585</v>
      </c>
      <c r="J17" s="112">
        <f t="shared" si="2"/>
        <v>4924.4114518015449</v>
      </c>
      <c r="K17" s="112">
        <f t="shared" si="1"/>
        <v>450.0216384360192</v>
      </c>
      <c r="L17" s="112">
        <f t="shared" si="3"/>
        <v>3912.9609427314272</v>
      </c>
      <c r="M17" s="113">
        <f t="shared" si="4"/>
        <v>194.32964751684651</v>
      </c>
      <c r="N17" s="114">
        <f t="shared" si="5"/>
        <v>260.99631418351316</v>
      </c>
      <c r="O17" s="115">
        <f t="shared" si="6"/>
        <v>248.43707801526367</v>
      </c>
      <c r="P17" s="116">
        <f t="shared" si="7"/>
        <v>0.27843116678182933</v>
      </c>
      <c r="Q17" s="116">
        <f t="shared" si="8"/>
        <v>-4.8120358356550486E-2</v>
      </c>
      <c r="R17" s="17"/>
      <c r="S17" s="1"/>
      <c r="T17" s="1"/>
      <c r="U17" s="1"/>
      <c r="V17" s="1"/>
      <c r="W17" s="1"/>
      <c r="X17" s="1"/>
      <c r="Y17" s="1"/>
      <c r="Z17" s="1"/>
    </row>
    <row r="18" spans="1:26" ht="17.25" x14ac:dyDescent="0.3">
      <c r="A18" s="197">
        <v>15</v>
      </c>
      <c r="B18" s="106">
        <f>IF($A18&gt;Inputs!$E$12,"",Inputs!$E$6*(1+Inputs!$E$8)^($A18-1))</f>
        <v>0.69642094275722566</v>
      </c>
      <c r="C18" s="107">
        <f>IF($A18&gt;Inputs!$E$12,"",Inputs!$E$7*12)</f>
        <v>4488</v>
      </c>
      <c r="D18" s="108">
        <f>B18*C18</f>
        <v>3125.5371910944286</v>
      </c>
      <c r="E18" s="109">
        <f>(B18*C18*(1-Inputs!$E$13))+(Inputs!$E$10*12-Inputs!$E$14)*((1+Inputs!$E$11)^($A17))</f>
        <v>2413.9737089806822</v>
      </c>
      <c r="F18" s="110">
        <f t="shared" si="0"/>
        <v>711.56348211374643</v>
      </c>
      <c r="G18" s="111">
        <f>(1+Inputs!$E$9)^($A18-1)-100%</f>
        <v>0.48405938534223125</v>
      </c>
      <c r="H18" s="108">
        <f t="shared" si="9"/>
        <v>2106.0728579764109</v>
      </c>
      <c r="I18" s="109">
        <f t="shared" si="10"/>
        <v>1626.6018279477464</v>
      </c>
      <c r="J18" s="112">
        <f t="shared" si="2"/>
        <v>5635.9749339152913</v>
      </c>
      <c r="K18" s="112">
        <f t="shared" si="1"/>
        <v>479.47103002866447</v>
      </c>
      <c r="L18" s="112">
        <f t="shared" si="3"/>
        <v>4392.4319727600914</v>
      </c>
      <c r="M18" s="113">
        <f t="shared" si="4"/>
        <v>201.16447574839017</v>
      </c>
      <c r="N18" s="114">
        <f t="shared" si="5"/>
        <v>267.83114241505683</v>
      </c>
      <c r="O18" s="115">
        <f t="shared" si="6"/>
        <v>260.46143259120237</v>
      </c>
      <c r="P18" s="116">
        <f t="shared" si="7"/>
        <v>0.2947685301900862</v>
      </c>
      <c r="Q18" s="116">
        <f t="shared" si="8"/>
        <v>-2.7516254298888265E-2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17.25" x14ac:dyDescent="0.3">
      <c r="A19" s="197">
        <v>16</v>
      </c>
      <c r="B19" s="106">
        <f>IF($A19&gt;Inputs!$E$12,"",Inputs!$E$6*(1+Inputs!$E$8)^($A19-1))</f>
        <v>0.7301277163866754</v>
      </c>
      <c r="C19" s="107">
        <f>IF($A19&gt;Inputs!$E$12,"",Inputs!$E$7*12)</f>
        <v>4488</v>
      </c>
      <c r="D19" s="108">
        <f>B19*C19</f>
        <v>3276.8131911433993</v>
      </c>
      <c r="E19" s="109">
        <f>(B19*C19*(1-Inputs!$E$13))+(Inputs!$E$10*12-Inputs!$E$14)*((1+Inputs!$E$11)^($A18))</f>
        <v>2498.8816107786124</v>
      </c>
      <c r="F19" s="110">
        <f t="shared" si="0"/>
        <v>777.9315803647869</v>
      </c>
      <c r="G19" s="111">
        <f>(1+Inputs!$E$9)^($A19-1)-100%</f>
        <v>0.52650348376301892</v>
      </c>
      <c r="H19" s="108">
        <f t="shared" si="9"/>
        <v>2146.61363435978</v>
      </c>
      <c r="I19" s="109">
        <f t="shared" si="10"/>
        <v>1636.996991725536</v>
      </c>
      <c r="J19" s="112">
        <f t="shared" si="2"/>
        <v>6413.9065142800782</v>
      </c>
      <c r="K19" s="112">
        <f t="shared" si="1"/>
        <v>509.61664263424404</v>
      </c>
      <c r="L19" s="112">
        <f t="shared" si="3"/>
        <v>4902.0486153943357</v>
      </c>
      <c r="M19" s="113">
        <f t="shared" si="4"/>
        <v>208.24013423155102</v>
      </c>
      <c r="N19" s="114">
        <f t="shared" si="5"/>
        <v>274.90680089821768</v>
      </c>
      <c r="O19" s="115">
        <f t="shared" si="6"/>
        <v>273.06776592861661</v>
      </c>
      <c r="P19" s="116">
        <f t="shared" si="7"/>
        <v>0.31131189929497927</v>
      </c>
      <c r="Q19" s="116">
        <f t="shared" si="8"/>
        <v>-6.6896670565890215E-3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17.25" x14ac:dyDescent="0.3">
      <c r="A20" s="197">
        <v>17</v>
      </c>
      <c r="B20" s="106">
        <f>IF($A20&gt;Inputs!$E$12,"",Inputs!$E$6*(1+Inputs!$E$8)^($A20-1))</f>
        <v>0.76546589785979047</v>
      </c>
      <c r="C20" s="107">
        <f>IF($A20&gt;Inputs!$E$12,"",Inputs!$E$7*12)</f>
        <v>4488</v>
      </c>
      <c r="D20" s="108">
        <f>B20*C20</f>
        <v>3435.4109495947396</v>
      </c>
      <c r="E20" s="109">
        <f>(B20*C20*(1-Inputs!$E$13))+(Inputs!$E$10*12-Inputs!$E$14)*((1+Inputs!$E$11)^($A19))</f>
        <v>2586.7815601234765</v>
      </c>
      <c r="F20" s="110">
        <f t="shared" si="0"/>
        <v>848.62938947126304</v>
      </c>
      <c r="G20" s="111">
        <f>(1+Inputs!$E$9)^($A20-1)-100%</f>
        <v>0.57016148339864103</v>
      </c>
      <c r="H20" s="108">
        <f t="shared" si="9"/>
        <v>2187.9347990110764</v>
      </c>
      <c r="I20" s="109">
        <f t="shared" si="10"/>
        <v>1647.4621161412929</v>
      </c>
      <c r="J20" s="112">
        <f t="shared" si="2"/>
        <v>7262.5359037513408</v>
      </c>
      <c r="K20" s="112">
        <f t="shared" si="1"/>
        <v>540.47268286978351</v>
      </c>
      <c r="L20" s="112">
        <f t="shared" si="3"/>
        <v>5442.5212982641187</v>
      </c>
      <c r="M20" s="113">
        <f t="shared" si="4"/>
        <v>215.56513001028972</v>
      </c>
      <c r="N20" s="114">
        <f t="shared" si="5"/>
        <v>282.23179667695638</v>
      </c>
      <c r="O20" s="115">
        <f t="shared" si="6"/>
        <v>286.28424579956163</v>
      </c>
      <c r="P20" s="116">
        <f t="shared" si="7"/>
        <v>0.32806380042030092</v>
      </c>
      <c r="Q20" s="116">
        <f t="shared" si="8"/>
        <v>1.435858457593886E-2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97">
        <v>18</v>
      </c>
      <c r="B21" s="106">
        <f>IF($A21&gt;Inputs!$E$12,"",Inputs!$E$6*(1+Inputs!$E$8)^($A21-1))</f>
        <v>0.80251444731620425</v>
      </c>
      <c r="C21" s="107">
        <f>IF($A21&gt;Inputs!$E$12,"",Inputs!$E$7*12)</f>
        <v>4488</v>
      </c>
      <c r="D21" s="108">
        <f>B21*C21</f>
        <v>3601.6848395551247</v>
      </c>
      <c r="E21" s="109">
        <f>(B21*C21*(1-Inputs!$E$13))+(Inputs!$E$10*12-Inputs!$E$14)*((1+Inputs!$E$11)^($A20))</f>
        <v>2677.7792597950438</v>
      </c>
      <c r="F21" s="110">
        <f t="shared" si="0"/>
        <v>923.90557976008085</v>
      </c>
      <c r="G21" s="111">
        <f>(1+Inputs!$E$9)^($A21-1)-100%</f>
        <v>0.61506810182384219</v>
      </c>
      <c r="H21" s="108">
        <f t="shared" si="9"/>
        <v>2230.051373987179</v>
      </c>
      <c r="I21" s="109">
        <f t="shared" si="10"/>
        <v>1657.997738157987</v>
      </c>
      <c r="J21" s="112">
        <f t="shared" si="2"/>
        <v>8186.4414835114221</v>
      </c>
      <c r="K21" s="112">
        <f t="shared" si="1"/>
        <v>572.05363582919199</v>
      </c>
      <c r="L21" s="112">
        <f t="shared" si="3"/>
        <v>6014.5749340933107</v>
      </c>
      <c r="M21" s="113">
        <f t="shared" si="4"/>
        <v>223.14827164958697</v>
      </c>
      <c r="N21" s="114">
        <f t="shared" si="5"/>
        <v>289.81493831625363</v>
      </c>
      <c r="O21" s="115">
        <f t="shared" si="6"/>
        <v>300.14040329626039</v>
      </c>
      <c r="P21" s="116">
        <f t="shared" si="7"/>
        <v>0.34502678903816597</v>
      </c>
      <c r="Q21" s="116">
        <f t="shared" si="8"/>
        <v>3.5627787304529202E-2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97">
        <v>19</v>
      </c>
      <c r="B22" s="106">
        <f>IF($A22&gt;Inputs!$E$12,"",Inputs!$E$6*(1+Inputs!$E$8)^($A22-1))</f>
        <v>0.84135614656630853</v>
      </c>
      <c r="C22" s="107">
        <f>IF($A22&gt;Inputs!$E$12,"",Inputs!$E$7*12)</f>
        <v>4488</v>
      </c>
      <c r="D22" s="108">
        <f>B22*C22</f>
        <v>3776.0063857895925</v>
      </c>
      <c r="E22" s="109">
        <f>(B22*C22*(1-Inputs!$E$13))+(Inputs!$E$10*12-Inputs!$E$14)*((1+Inputs!$E$11)^($A21))</f>
        <v>2771.9841596563706</v>
      </c>
      <c r="F22" s="110">
        <f t="shared" si="0"/>
        <v>1004.0222261332219</v>
      </c>
      <c r="G22" s="111">
        <f>(1+Inputs!$E$9)^($A22-1)-100%</f>
        <v>0.66125904953600401</v>
      </c>
      <c r="H22" s="108">
        <f t="shared" si="9"/>
        <v>2272.9786705115289</v>
      </c>
      <c r="I22" s="109">
        <f t="shared" si="10"/>
        <v>1668.6044000365846</v>
      </c>
      <c r="J22" s="112">
        <f t="shared" si="2"/>
        <v>9190.463709644644</v>
      </c>
      <c r="K22" s="112">
        <f t="shared" si="1"/>
        <v>604.3742704749443</v>
      </c>
      <c r="L22" s="112">
        <f t="shared" si="3"/>
        <v>6618.9492045682546</v>
      </c>
      <c r="M22" s="113">
        <f t="shared" si="4"/>
        <v>230.99867997136423</v>
      </c>
      <c r="N22" s="114">
        <f t="shared" si="5"/>
        <v>297.66534663803088</v>
      </c>
      <c r="O22" s="115">
        <f t="shared" si="6"/>
        <v>314.6671988157994</v>
      </c>
      <c r="P22" s="116">
        <f t="shared" si="7"/>
        <v>0.36220345005784083</v>
      </c>
      <c r="Q22" s="116">
        <f t="shared" si="8"/>
        <v>5.711733787555473E-2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97">
        <v>20</v>
      </c>
      <c r="B23" s="106">
        <f>IF($A23&gt;Inputs!$E$12,"",Inputs!$E$6*(1+Inputs!$E$8)^($A23-1))</f>
        <v>0.88207778406011794</v>
      </c>
      <c r="C23" s="107">
        <f>IF($A23&gt;Inputs!$E$12,"",Inputs!$E$7*12)</f>
        <v>4488</v>
      </c>
      <c r="D23" s="108">
        <f>B23*C23</f>
        <v>3958.7650948618093</v>
      </c>
      <c r="E23" s="109">
        <f>(B23*C23*(1-Inputs!$E$13))+(Inputs!$E$10*12-Inputs!$E$14)*((1+Inputs!$E$11)^($A22))</f>
        <v>2869.5095901000391</v>
      </c>
      <c r="F23" s="110">
        <f t="shared" si="0"/>
        <v>1089.2555047617702</v>
      </c>
      <c r="G23" s="111">
        <f>(1+Inputs!$E$9)^($A23-1)-100%</f>
        <v>0.70877105835273335</v>
      </c>
      <c r="H23" s="108">
        <f t="shared" si="9"/>
        <v>2316.7322945404312</v>
      </c>
      <c r="I23" s="109">
        <f t="shared" si="10"/>
        <v>1679.2826494066826</v>
      </c>
      <c r="J23" s="112">
        <f t="shared" si="2"/>
        <v>10279.719214406414</v>
      </c>
      <c r="K23" s="112">
        <f t="shared" si="1"/>
        <v>637.44964513374862</v>
      </c>
      <c r="L23" s="112">
        <f t="shared" si="3"/>
        <v>7256.3988497020036</v>
      </c>
      <c r="M23" s="113">
        <f t="shared" si="4"/>
        <v>239.12579917500327</v>
      </c>
      <c r="N23" s="114">
        <f t="shared" si="5"/>
        <v>305.79246584166992</v>
      </c>
      <c r="O23" s="115">
        <f t="shared" si="6"/>
        <v>329.89709123848411</v>
      </c>
      <c r="P23" s="116">
        <f t="shared" si="7"/>
        <v>0.37959639811616586</v>
      </c>
      <c r="Q23" s="116">
        <f t="shared" si="8"/>
        <v>7.8826747187731083E-2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97">
        <v>21</v>
      </c>
      <c r="B24" s="106">
        <f>IF($A24&gt;Inputs!$E$12,"",Inputs!$E$6*(1+Inputs!$E$8)^($A24-1))</f>
        <v>0.92477034880862763</v>
      </c>
      <c r="C24" s="107">
        <f>IF($A24&gt;Inputs!$E$12,"",Inputs!$E$7*12)</f>
        <v>4488</v>
      </c>
      <c r="D24" s="108">
        <f>B24*C24</f>
        <v>4150.3693254531208</v>
      </c>
      <c r="E24" s="109">
        <f>(B24*C24*(1-Inputs!$E$13))+(Inputs!$E$10*12-Inputs!$E$14)*((1+Inputs!$E$11)^($A23))</f>
        <v>2970.4729002762519</v>
      </c>
      <c r="F24" s="110">
        <f t="shared" si="0"/>
        <v>1179.8964251768689</v>
      </c>
      <c r="G24" s="111">
        <f>(1+Inputs!$E$9)^($A24-1)-100%</f>
        <v>0.75764191062162167</v>
      </c>
      <c r="H24" s="108">
        <f t="shared" si="9"/>
        <v>2361.3281524365038</v>
      </c>
      <c r="I24" s="109">
        <f t="shared" si="10"/>
        <v>1690.0330393383092</v>
      </c>
      <c r="J24" s="112">
        <f t="shared" si="2"/>
        <v>11459.615639583282</v>
      </c>
      <c r="K24" s="112">
        <f t="shared" si="1"/>
        <v>671.29511309819463</v>
      </c>
      <c r="L24" s="112">
        <f t="shared" si="3"/>
        <v>7927.6939628001983</v>
      </c>
      <c r="M24" s="113">
        <f t="shared" si="4"/>
        <v>247.53940835635433</v>
      </c>
      <c r="N24" s="114">
        <f t="shared" si="5"/>
        <v>314.20607502302101</v>
      </c>
      <c r="O24" s="115">
        <f t="shared" si="6"/>
        <v>345.86411045442674</v>
      </c>
      <c r="P24" s="116">
        <f t="shared" si="7"/>
        <v>0.39720827786954027</v>
      </c>
      <c r="Q24" s="116">
        <f t="shared" si="8"/>
        <v>0.10075564398010517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97">
        <v>22</v>
      </c>
      <c r="B25" s="106">
        <f>IF($A25&gt;Inputs!$E$12,"",Inputs!$E$6*(1+Inputs!$E$8)^($A25-1))</f>
        <v>0.96952923369096522</v>
      </c>
      <c r="C25" s="107">
        <f>IF($A25&gt;Inputs!$E$12,"",Inputs!$E$7*12)</f>
        <v>4488</v>
      </c>
      <c r="D25" s="108">
        <f>B25*C25</f>
        <v>4351.2472008050518</v>
      </c>
      <c r="E25" s="109">
        <f>(B25*C25*(1-Inputs!$E$13))+(Inputs!$E$10*12-Inputs!$E$14)*((1+Inputs!$E$11)^($A24))</f>
        <v>3074.995601275531</v>
      </c>
      <c r="F25" s="110">
        <f t="shared" si="0"/>
        <v>1276.2515995295207</v>
      </c>
      <c r="G25" s="111">
        <f>(1+Inputs!$E$9)^($A25-1)-100%</f>
        <v>0.80791046926539978</v>
      </c>
      <c r="H25" s="108">
        <f t="shared" si="9"/>
        <v>2406.7824567513426</v>
      </c>
      <c r="I25" s="109">
        <f t="shared" si="10"/>
        <v>1700.85612841491</v>
      </c>
      <c r="J25" s="112">
        <f t="shared" si="2"/>
        <v>12735.867239112802</v>
      </c>
      <c r="K25" s="112">
        <f t="shared" si="1"/>
        <v>705.92632833643256</v>
      </c>
      <c r="L25" s="112">
        <f t="shared" si="3"/>
        <v>8633.6202911366308</v>
      </c>
      <c r="M25" s="113">
        <f t="shared" si="4"/>
        <v>256.24963343962759</v>
      </c>
      <c r="N25" s="114">
        <f t="shared" si="5"/>
        <v>322.91630010629427</v>
      </c>
      <c r="O25" s="115">
        <f t="shared" si="6"/>
        <v>362.603933400421</v>
      </c>
      <c r="P25" s="116">
        <f t="shared" si="7"/>
        <v>0.41504176428744222</v>
      </c>
      <c r="Q25" s="116">
        <f t="shared" si="8"/>
        <v>0.12290377810306508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97">
        <v>23</v>
      </c>
      <c r="B26" s="106">
        <f>IF($A26&gt;Inputs!$E$12,"",Inputs!$E$6*(1+Inputs!$E$8)^($A26-1))</f>
        <v>1.0164544486016078</v>
      </c>
      <c r="C26" s="107">
        <f>IF($A26&gt;Inputs!$E$12,"",Inputs!$E$7*12)</f>
        <v>4488</v>
      </c>
      <c r="D26" s="108">
        <f>B26*C26</f>
        <v>4561.8475653240157</v>
      </c>
      <c r="E26" s="109">
        <f>(B26*C26*(1-Inputs!$E$13))+(Inputs!$E$10*12-Inputs!$E$14)*((1+Inputs!$E$11)^($A25))</f>
        <v>3183.2035144450824</v>
      </c>
      <c r="F26" s="110">
        <f t="shared" si="0"/>
        <v>1378.6440508789333</v>
      </c>
      <c r="G26" s="111">
        <f>(1+Inputs!$E$9)^($A26-1)-100%</f>
        <v>0.8596167086863904</v>
      </c>
      <c r="H26" s="108">
        <f t="shared" si="9"/>
        <v>2453.1117321194897</v>
      </c>
      <c r="I26" s="109">
        <f t="shared" si="10"/>
        <v>1711.7524808075407</v>
      </c>
      <c r="J26" s="112">
        <f t="shared" si="2"/>
        <v>14114.511289991735</v>
      </c>
      <c r="K26" s="112">
        <f t="shared" si="1"/>
        <v>741.35925131194904</v>
      </c>
      <c r="L26" s="112">
        <f t="shared" si="3"/>
        <v>9374.9795424485801</v>
      </c>
      <c r="M26" s="113">
        <f t="shared" si="4"/>
        <v>265.2669595370902</v>
      </c>
      <c r="N26" s="114">
        <f t="shared" si="5"/>
        <v>331.93362620375689</v>
      </c>
      <c r="O26" s="115">
        <f t="shared" si="6"/>
        <v>380.15396377700131</v>
      </c>
      <c r="P26" s="116">
        <f t="shared" si="7"/>
        <v>0.43309956294744412</v>
      </c>
      <c r="Q26" s="116">
        <f t="shared" si="8"/>
        <v>0.14527102338117581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97">
        <v>24</v>
      </c>
      <c r="B27" s="106">
        <f>IF($A27&gt;Inputs!$E$12,"",Inputs!$E$6*(1+Inputs!$E$8)^($A27-1))</f>
        <v>1.0656508439139258</v>
      </c>
      <c r="C27" s="107">
        <f>IF($A27&gt;Inputs!$E$12,"",Inputs!$E$7*12)</f>
        <v>4488</v>
      </c>
      <c r="D27" s="108">
        <f>B27*C27</f>
        <v>4782.640987485699</v>
      </c>
      <c r="E27" s="109">
        <f>(B27*C27*(1-Inputs!$E$13))+(Inputs!$E$10*12-Inputs!$E$14)*((1+Inputs!$E$11)^($A26))</f>
        <v>3295.2269250244135</v>
      </c>
      <c r="F27" s="110">
        <f t="shared" si="0"/>
        <v>1487.4140624612855</v>
      </c>
      <c r="G27" s="111">
        <f>(1+Inputs!$E$9)^($A27-1)-100%</f>
        <v>0.91280174655482105</v>
      </c>
      <c r="H27" s="108">
        <f t="shared" si="9"/>
        <v>2500.3328212658698</v>
      </c>
      <c r="I27" s="109">
        <f t="shared" si="10"/>
        <v>1722.7226663502902</v>
      </c>
      <c r="J27" s="112">
        <f t="shared" si="2"/>
        <v>15601.925352453021</v>
      </c>
      <c r="K27" s="112">
        <f t="shared" si="1"/>
        <v>777.61015491557964</v>
      </c>
      <c r="L27" s="112">
        <f t="shared" si="3"/>
        <v>10152.589697364159</v>
      </c>
      <c r="M27" s="113">
        <f t="shared" si="4"/>
        <v>274.60224375203444</v>
      </c>
      <c r="N27" s="114">
        <f t="shared" si="5"/>
        <v>341.26891041870113</v>
      </c>
      <c r="O27" s="115">
        <f t="shared" si="6"/>
        <v>398.55341562380823</v>
      </c>
      <c r="P27" s="116">
        <f t="shared" si="7"/>
        <v>0.45138441033169996</v>
      </c>
      <c r="Q27" s="116">
        <f t="shared" si="8"/>
        <v>0.1678573800784402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97">
        <v>25</v>
      </c>
      <c r="B28" s="106">
        <f>IF($A28&gt;Inputs!$E$12,"",Inputs!$E$6*(1+Inputs!$E$8)^($A28-1))</f>
        <v>1.1172283447593596</v>
      </c>
      <c r="C28" s="107">
        <f>IF($A28&gt;Inputs!$E$12,"",Inputs!$E$7*12)</f>
        <v>4488</v>
      </c>
      <c r="D28" s="108">
        <f>B28*C28</f>
        <v>5014.1208112800059</v>
      </c>
      <c r="E28" s="109">
        <f>(B28*C28*(1-Inputs!$E$13))+(Inputs!$E$10*12-Inputs!$E$14)*((1+Inputs!$E$11)^($A27))</f>
        <v>3411.2007412925905</v>
      </c>
      <c r="F28" s="110">
        <f t="shared" si="0"/>
        <v>1602.9200699874154</v>
      </c>
      <c r="G28" s="111">
        <f>(1+Inputs!$E$9)^($A28-1)-100%</f>
        <v>0.96750787650628856</v>
      </c>
      <c r="H28" s="108">
        <f t="shared" si="9"/>
        <v>2548.4628911288528</v>
      </c>
      <c r="I28" s="109">
        <f t="shared" si="10"/>
        <v>1733.7672606169551</v>
      </c>
      <c r="J28" s="112">
        <f t="shared" si="2"/>
        <v>17204.845422440438</v>
      </c>
      <c r="K28" s="112">
        <f t="shared" si="1"/>
        <v>814.69563051189766</v>
      </c>
      <c r="L28" s="112">
        <f t="shared" si="3"/>
        <v>10967.285327876058</v>
      </c>
      <c r="M28" s="113">
        <f t="shared" si="4"/>
        <v>284.26672844104922</v>
      </c>
      <c r="N28" s="114">
        <f t="shared" si="5"/>
        <v>350.93339510771585</v>
      </c>
      <c r="O28" s="115">
        <f t="shared" si="6"/>
        <v>417.84340094000049</v>
      </c>
      <c r="P28" s="116">
        <f t="shared" si="7"/>
        <v>0.46989907412485743</v>
      </c>
      <c r="Q28" s="116">
        <f t="shared" si="8"/>
        <v>0.19066297697814494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24"/>
      <c r="B29" s="26"/>
      <c r="C29" s="26"/>
      <c r="D29" s="25"/>
      <c r="E29" s="25"/>
      <c r="F29" s="21"/>
      <c r="G29" s="94"/>
      <c r="H29" s="25"/>
      <c r="I29" s="25"/>
      <c r="J29" s="25"/>
      <c r="K29" s="25"/>
      <c r="L29" s="25"/>
      <c r="M29" s="25"/>
      <c r="N29" s="24"/>
      <c r="O29" s="1"/>
      <c r="P29" s="1"/>
      <c r="Q29" s="12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24"/>
      <c r="B30" s="103" t="s">
        <v>150</v>
      </c>
      <c r="C30" s="22"/>
      <c r="D30" s="90">
        <f t="shared" ref="D30:H30" si="11">SUM(D4:D28)</f>
        <v>75291.954015194904</v>
      </c>
      <c r="E30" s="90">
        <f t="shared" si="11"/>
        <v>58087.108592754463</v>
      </c>
      <c r="F30" s="90">
        <f>SUM(F4:F28)</f>
        <v>17204.845422440438</v>
      </c>
      <c r="G30" s="95"/>
      <c r="H30" s="90">
        <f t="shared" si="11"/>
        <v>51162.239569724203</v>
      </c>
      <c r="I30" s="90">
        <f>SUM(I4:I28)</f>
        <v>40194.954241848151</v>
      </c>
      <c r="J30" s="90"/>
      <c r="K30" s="90">
        <f t="shared" ref="K30" si="12">SUM(K4:K28)</f>
        <v>10967.285327876058</v>
      </c>
      <c r="L30" s="90"/>
      <c r="M30" s="90"/>
      <c r="N30" s="90"/>
      <c r="O30" s="9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04"/>
      <c r="C31" s="22"/>
      <c r="D31" s="91"/>
      <c r="E31" s="91"/>
      <c r="F31" s="91"/>
      <c r="G31" s="96"/>
      <c r="H31" s="91"/>
      <c r="I31" s="91"/>
      <c r="J31" s="91"/>
      <c r="K31" s="91"/>
      <c r="L31" s="91"/>
      <c r="M31" s="91"/>
      <c r="N31" s="91"/>
      <c r="O31" s="9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03" t="s">
        <v>149</v>
      </c>
      <c r="C32" s="22"/>
      <c r="D32" s="92">
        <f>AVERAGE(D4:D28)</f>
        <v>3011.6781606077961</v>
      </c>
      <c r="E32" s="92">
        <f>AVERAGE(E4:E28)</f>
        <v>2323.4843437101786</v>
      </c>
      <c r="F32" s="92">
        <f t="shared" ref="F32:I32" si="13">AVERAGE(F4:F28)</f>
        <v>688.19381689761747</v>
      </c>
      <c r="G32" s="97"/>
      <c r="H32" s="92">
        <f t="shared" si="13"/>
        <v>2046.4895827889682</v>
      </c>
      <c r="I32" s="92">
        <f t="shared" si="13"/>
        <v>1607.7981696739259</v>
      </c>
      <c r="J32" s="92"/>
      <c r="K32" s="92">
        <f>AVERAGE(K4:K28)</f>
        <v>438.69141311504228</v>
      </c>
      <c r="L32" s="92">
        <f t="shared" ref="L32:M32" si="14">AVERAGE(L4:L28)</f>
        <v>4213.6234710615654</v>
      </c>
      <c r="M32" s="92">
        <f t="shared" si="14"/>
        <v>193.62369530918147</v>
      </c>
      <c r="N32" s="92">
        <f>AVERAGE(N4:N28)</f>
        <v>260.29036197584827</v>
      </c>
      <c r="O32" s="9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00"/>
      <c r="C33" s="22"/>
      <c r="D33" s="91"/>
      <c r="E33" s="91"/>
      <c r="F33" s="91"/>
      <c r="G33" s="96"/>
      <c r="H33" s="91"/>
      <c r="I33" s="91"/>
      <c r="J33" s="91"/>
      <c r="K33" s="91"/>
      <c r="L33" s="91"/>
      <c r="M33" s="91"/>
      <c r="N33" s="91"/>
      <c r="O33" s="9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00"/>
      <c r="C34" s="22"/>
      <c r="D34" s="1"/>
      <c r="E34" s="1"/>
      <c r="F34" s="1"/>
      <c r="G34" s="9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00"/>
      <c r="C35" s="22"/>
      <c r="D35" s="1"/>
      <c r="E35" s="1"/>
      <c r="F35" s="1"/>
      <c r="G35" s="9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00"/>
      <c r="C36" s="22"/>
      <c r="D36" s="1"/>
      <c r="E36" s="1"/>
      <c r="F36" s="1"/>
      <c r="G36" s="9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00"/>
      <c r="C37" s="22"/>
      <c r="D37" s="1"/>
      <c r="E37" s="1"/>
      <c r="F37" s="1"/>
      <c r="G37" s="9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00"/>
      <c r="C38" s="22"/>
      <c r="D38" s="1"/>
      <c r="E38" s="1"/>
      <c r="F38" s="1"/>
      <c r="G38" s="9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00"/>
      <c r="C39" s="22"/>
      <c r="D39" s="1"/>
      <c r="E39" s="1"/>
      <c r="F39" s="1"/>
      <c r="G39" s="9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00"/>
      <c r="C40" s="22"/>
      <c r="D40" s="1"/>
      <c r="E40" s="1"/>
      <c r="F40" s="1"/>
      <c r="G40" s="9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00"/>
      <c r="C41" s="22"/>
      <c r="D41" s="1"/>
      <c r="E41" s="1"/>
      <c r="F41" s="1"/>
      <c r="G41" s="9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00"/>
      <c r="C42" s="22"/>
      <c r="D42" s="1"/>
      <c r="E42" s="1"/>
      <c r="F42" s="1"/>
      <c r="G42" s="9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00"/>
      <c r="C43" s="22"/>
      <c r="D43" s="1"/>
      <c r="E43" s="1"/>
      <c r="F43" s="1"/>
      <c r="G43" s="9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00"/>
      <c r="C44" s="22"/>
      <c r="D44" s="1"/>
      <c r="E44" s="1"/>
      <c r="F44" s="1"/>
      <c r="G44" s="9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00"/>
      <c r="C45" s="22"/>
      <c r="D45" s="1"/>
      <c r="E45" s="1"/>
      <c r="F45" s="1"/>
      <c r="G45" s="9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00"/>
      <c r="C46" s="22"/>
      <c r="D46" s="1"/>
      <c r="E46" s="1"/>
      <c r="F46" s="1"/>
      <c r="G46" s="9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00"/>
      <c r="C47" s="22"/>
      <c r="D47" s="1"/>
      <c r="E47" s="1"/>
      <c r="F47" s="1"/>
      <c r="G47" s="9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00"/>
      <c r="C48" s="22"/>
      <c r="D48" s="1"/>
      <c r="E48" s="1"/>
      <c r="F48" s="1"/>
      <c r="G48" s="9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00"/>
      <c r="C49" s="22"/>
      <c r="D49" s="1"/>
      <c r="E49" s="1"/>
      <c r="F49" s="1"/>
      <c r="G49" s="9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00"/>
      <c r="C50" s="22"/>
      <c r="D50" s="1"/>
      <c r="E50" s="1"/>
      <c r="F50" s="1"/>
      <c r="G50" s="9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00"/>
      <c r="C51" s="22"/>
      <c r="D51" s="1"/>
      <c r="E51" s="1"/>
      <c r="F51" s="1"/>
      <c r="G51" s="9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00"/>
      <c r="C52" s="22"/>
      <c r="D52" s="1"/>
      <c r="E52" s="1"/>
      <c r="F52" s="1"/>
      <c r="G52" s="9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00"/>
      <c r="C53" s="22"/>
      <c r="D53" s="1"/>
      <c r="E53" s="1"/>
      <c r="F53" s="1"/>
      <c r="G53" s="9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00"/>
      <c r="C54" s="22"/>
      <c r="D54" s="1"/>
      <c r="E54" s="1"/>
      <c r="F54" s="1"/>
      <c r="G54" s="9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00"/>
      <c r="C55" s="22"/>
      <c r="D55" s="1"/>
      <c r="E55" s="1"/>
      <c r="F55" s="1"/>
      <c r="G55" s="9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00"/>
      <c r="C56" s="22"/>
      <c r="D56" s="1"/>
      <c r="E56" s="1"/>
      <c r="F56" s="1"/>
      <c r="G56" s="9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00"/>
      <c r="C57" s="22"/>
      <c r="D57" s="1"/>
      <c r="E57" s="1"/>
      <c r="F57" s="1"/>
      <c r="G57" s="9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00"/>
      <c r="C58" s="22"/>
      <c r="D58" s="1"/>
      <c r="E58" s="1"/>
      <c r="F58" s="1"/>
      <c r="G58" s="9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00"/>
      <c r="C59" s="22"/>
      <c r="D59" s="1"/>
      <c r="E59" s="1"/>
      <c r="F59" s="1"/>
      <c r="G59" s="9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00"/>
      <c r="C60" s="22"/>
      <c r="D60" s="1"/>
      <c r="E60" s="1"/>
      <c r="F60" s="1"/>
      <c r="G60" s="9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00"/>
      <c r="C61" s="22"/>
      <c r="D61" s="1"/>
      <c r="E61" s="1"/>
      <c r="F61" s="1"/>
      <c r="G61" s="9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00"/>
      <c r="C62" s="22"/>
      <c r="D62" s="1"/>
      <c r="E62" s="1"/>
      <c r="F62" s="1"/>
      <c r="G62" s="9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00"/>
      <c r="C63" s="22"/>
      <c r="D63" s="1"/>
      <c r="E63" s="1"/>
      <c r="F63" s="1"/>
      <c r="G63" s="9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00"/>
      <c r="C64" s="22"/>
      <c r="D64" s="1"/>
      <c r="E64" s="1"/>
      <c r="F64" s="1"/>
      <c r="G64" s="9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00"/>
      <c r="C65" s="22"/>
      <c r="D65" s="1"/>
      <c r="E65" s="1"/>
      <c r="F65" s="1"/>
      <c r="G65" s="9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00"/>
      <c r="C66" s="22"/>
      <c r="D66" s="1"/>
      <c r="E66" s="1"/>
      <c r="F66" s="1"/>
      <c r="G66" s="9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00"/>
      <c r="C67" s="22"/>
      <c r="D67" s="1"/>
      <c r="E67" s="1"/>
      <c r="F67" s="1"/>
      <c r="G67" s="9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00"/>
      <c r="C68" s="22"/>
      <c r="D68" s="1"/>
      <c r="E68" s="1"/>
      <c r="F68" s="1"/>
      <c r="G68" s="9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00"/>
      <c r="C69" s="22"/>
      <c r="D69" s="1"/>
      <c r="E69" s="1"/>
      <c r="F69" s="1"/>
      <c r="G69" s="9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00"/>
      <c r="C70" s="22"/>
      <c r="D70" s="1"/>
      <c r="E70" s="1"/>
      <c r="F70" s="1"/>
      <c r="G70" s="9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00"/>
      <c r="C71" s="22"/>
      <c r="D71" s="1"/>
      <c r="E71" s="1"/>
      <c r="F71" s="1"/>
      <c r="G71" s="9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00"/>
      <c r="C72" s="22"/>
      <c r="D72" s="1"/>
      <c r="E72" s="1"/>
      <c r="F72" s="1"/>
      <c r="G72" s="9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00"/>
      <c r="C73" s="22"/>
      <c r="D73" s="1"/>
      <c r="E73" s="1"/>
      <c r="F73" s="1"/>
      <c r="G73" s="9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00"/>
      <c r="C74" s="22"/>
      <c r="D74" s="1"/>
      <c r="E74" s="1"/>
      <c r="F74" s="1"/>
      <c r="G74" s="9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00"/>
      <c r="C75" s="22"/>
      <c r="D75" s="1"/>
      <c r="E75" s="1"/>
      <c r="F75" s="1"/>
      <c r="G75" s="9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00"/>
      <c r="C76" s="22"/>
      <c r="D76" s="1"/>
      <c r="E76" s="1"/>
      <c r="F76" s="1"/>
      <c r="G76" s="9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00"/>
      <c r="C77" s="22"/>
      <c r="D77" s="1"/>
      <c r="E77" s="1"/>
      <c r="F77" s="1"/>
      <c r="G77" s="9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00"/>
      <c r="C78" s="22"/>
      <c r="D78" s="1"/>
      <c r="E78" s="1"/>
      <c r="F78" s="1"/>
      <c r="G78" s="9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00"/>
      <c r="C79" s="22"/>
      <c r="D79" s="1"/>
      <c r="E79" s="1"/>
      <c r="F79" s="1"/>
      <c r="G79" s="9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00"/>
      <c r="C80" s="22"/>
      <c r="D80" s="1"/>
      <c r="E80" s="1"/>
      <c r="F80" s="1"/>
      <c r="G80" s="9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00"/>
      <c r="C81" s="22"/>
      <c r="D81" s="1"/>
      <c r="E81" s="1"/>
      <c r="F81" s="1"/>
      <c r="G81" s="9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00"/>
      <c r="C82" s="22"/>
      <c r="D82" s="1"/>
      <c r="E82" s="1"/>
      <c r="F82" s="1"/>
      <c r="G82" s="9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00"/>
      <c r="C83" s="22"/>
      <c r="D83" s="1"/>
      <c r="E83" s="1"/>
      <c r="F83" s="1"/>
      <c r="G83" s="9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00"/>
      <c r="C84" s="22"/>
      <c r="D84" s="1"/>
      <c r="E84" s="1"/>
      <c r="F84" s="1"/>
      <c r="G84" s="9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00"/>
      <c r="C85" s="22"/>
      <c r="D85" s="1"/>
      <c r="E85" s="1"/>
      <c r="F85" s="1"/>
      <c r="G85" s="9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00"/>
      <c r="C86" s="22"/>
      <c r="D86" s="1"/>
      <c r="E86" s="1"/>
      <c r="F86" s="1"/>
      <c r="G86" s="9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00"/>
      <c r="C87" s="22"/>
      <c r="D87" s="1"/>
      <c r="E87" s="1"/>
      <c r="F87" s="1"/>
      <c r="G87" s="9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00"/>
      <c r="C88" s="22"/>
      <c r="D88" s="1"/>
      <c r="E88" s="1"/>
      <c r="F88" s="1"/>
      <c r="G88" s="9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00"/>
      <c r="C89" s="22"/>
      <c r="D89" s="1"/>
      <c r="E89" s="1"/>
      <c r="F89" s="1"/>
      <c r="G89" s="9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00"/>
      <c r="C90" s="22"/>
      <c r="D90" s="1"/>
      <c r="E90" s="1"/>
      <c r="F90" s="1"/>
      <c r="G90" s="9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00"/>
      <c r="C91" s="22"/>
      <c r="D91" s="1"/>
      <c r="E91" s="1"/>
      <c r="F91" s="1"/>
      <c r="G91" s="9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00"/>
      <c r="C92" s="22"/>
      <c r="D92" s="1"/>
      <c r="E92" s="1"/>
      <c r="F92" s="1"/>
      <c r="G92" s="9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00"/>
      <c r="C93" s="22"/>
      <c r="D93" s="1"/>
      <c r="E93" s="1"/>
      <c r="F93" s="1"/>
      <c r="G93" s="9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00"/>
      <c r="C94" s="22"/>
      <c r="D94" s="1"/>
      <c r="E94" s="1"/>
      <c r="F94" s="1"/>
      <c r="G94" s="9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00"/>
      <c r="C95" s="22"/>
      <c r="D95" s="1"/>
      <c r="E95" s="1"/>
      <c r="F95" s="1"/>
      <c r="G95" s="9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00"/>
      <c r="C96" s="22"/>
      <c r="D96" s="1"/>
      <c r="E96" s="1"/>
      <c r="F96" s="1"/>
      <c r="G96" s="9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00"/>
      <c r="C97" s="22"/>
      <c r="D97" s="1"/>
      <c r="E97" s="1"/>
      <c r="F97" s="1"/>
      <c r="G97" s="9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00"/>
      <c r="C98" s="22"/>
      <c r="D98" s="1"/>
      <c r="E98" s="1"/>
      <c r="F98" s="1"/>
      <c r="G98" s="9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00"/>
      <c r="C99" s="22"/>
      <c r="D99" s="1"/>
      <c r="E99" s="1"/>
      <c r="F99" s="1"/>
      <c r="G99" s="9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00"/>
      <c r="C100" s="22"/>
      <c r="D100" s="1"/>
      <c r="E100" s="1"/>
      <c r="F100" s="1"/>
      <c r="G100" s="9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00"/>
      <c r="C101" s="22"/>
      <c r="D101" s="1"/>
      <c r="E101" s="1"/>
      <c r="F101" s="1"/>
      <c r="G101" s="9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00"/>
      <c r="C102" s="22"/>
      <c r="D102" s="1"/>
      <c r="E102" s="1"/>
      <c r="F102" s="1"/>
      <c r="G102" s="9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00"/>
      <c r="C103" s="22"/>
      <c r="D103" s="1"/>
      <c r="E103" s="1"/>
      <c r="F103" s="1"/>
      <c r="G103" s="9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00"/>
      <c r="C104" s="22"/>
      <c r="D104" s="1"/>
      <c r="E104" s="1"/>
      <c r="F104" s="1"/>
      <c r="G104" s="9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00"/>
      <c r="C105" s="22"/>
      <c r="D105" s="1"/>
      <c r="E105" s="1"/>
      <c r="F105" s="1"/>
      <c r="G105" s="9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00"/>
      <c r="C106" s="22"/>
      <c r="D106" s="1"/>
      <c r="E106" s="1"/>
      <c r="F106" s="1"/>
      <c r="G106" s="9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00"/>
      <c r="C107" s="22"/>
      <c r="D107" s="1"/>
      <c r="E107" s="1"/>
      <c r="F107" s="1"/>
      <c r="G107" s="9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00"/>
      <c r="C108" s="22"/>
      <c r="D108" s="1"/>
      <c r="E108" s="1"/>
      <c r="F108" s="1"/>
      <c r="G108" s="9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00"/>
      <c r="C109" s="22"/>
      <c r="D109" s="1"/>
      <c r="E109" s="1"/>
      <c r="F109" s="1"/>
      <c r="G109" s="9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00"/>
      <c r="C110" s="22"/>
      <c r="D110" s="1"/>
      <c r="E110" s="1"/>
      <c r="F110" s="1"/>
      <c r="G110" s="9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00"/>
      <c r="C111" s="22"/>
      <c r="D111" s="1"/>
      <c r="E111" s="1"/>
      <c r="F111" s="1"/>
      <c r="G111" s="9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00"/>
      <c r="C112" s="22"/>
      <c r="D112" s="1"/>
      <c r="E112" s="1"/>
      <c r="F112" s="1"/>
      <c r="G112" s="9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00"/>
      <c r="C113" s="22"/>
      <c r="D113" s="1"/>
      <c r="E113" s="1"/>
      <c r="F113" s="1"/>
      <c r="G113" s="9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00"/>
      <c r="C114" s="22"/>
      <c r="D114" s="1"/>
      <c r="E114" s="1"/>
      <c r="F114" s="1"/>
      <c r="G114" s="9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00"/>
      <c r="C115" s="22"/>
      <c r="D115" s="1"/>
      <c r="E115" s="1"/>
      <c r="F115" s="1"/>
      <c r="G115" s="9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00"/>
      <c r="C116" s="22"/>
      <c r="D116" s="1"/>
      <c r="E116" s="1"/>
      <c r="F116" s="1"/>
      <c r="G116" s="9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00"/>
      <c r="C117" s="22"/>
      <c r="D117" s="1"/>
      <c r="E117" s="1"/>
      <c r="F117" s="1"/>
      <c r="G117" s="9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00"/>
      <c r="C118" s="22"/>
      <c r="D118" s="1"/>
      <c r="E118" s="1"/>
      <c r="F118" s="1"/>
      <c r="G118" s="9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00"/>
      <c r="C119" s="22"/>
      <c r="D119" s="1"/>
      <c r="E119" s="1"/>
      <c r="F119" s="1"/>
      <c r="G119" s="9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00"/>
      <c r="C120" s="22"/>
      <c r="D120" s="1"/>
      <c r="E120" s="1"/>
      <c r="F120" s="1"/>
      <c r="G120" s="9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00"/>
      <c r="C121" s="22"/>
      <c r="D121" s="1"/>
      <c r="E121" s="1"/>
      <c r="F121" s="1"/>
      <c r="G121" s="9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00"/>
      <c r="C122" s="22"/>
      <c r="D122" s="1"/>
      <c r="E122" s="1"/>
      <c r="F122" s="1"/>
      <c r="G122" s="9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00"/>
      <c r="C123" s="22"/>
      <c r="D123" s="1"/>
      <c r="E123" s="1"/>
      <c r="F123" s="1"/>
      <c r="G123" s="9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00"/>
      <c r="C124" s="22"/>
      <c r="D124" s="1"/>
      <c r="E124" s="1"/>
      <c r="F124" s="1"/>
      <c r="G124" s="9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00"/>
      <c r="C125" s="22"/>
      <c r="D125" s="1"/>
      <c r="E125" s="1"/>
      <c r="F125" s="1"/>
      <c r="G125" s="9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00"/>
      <c r="C126" s="22"/>
      <c r="D126" s="1"/>
      <c r="E126" s="1"/>
      <c r="F126" s="1"/>
      <c r="G126" s="9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00"/>
      <c r="C127" s="22"/>
      <c r="D127" s="1"/>
      <c r="E127" s="1"/>
      <c r="F127" s="1"/>
      <c r="G127" s="9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00"/>
      <c r="C128" s="22"/>
      <c r="D128" s="1"/>
      <c r="E128" s="1"/>
      <c r="F128" s="1"/>
      <c r="G128" s="9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00"/>
      <c r="C129" s="22"/>
      <c r="D129" s="1"/>
      <c r="E129" s="1"/>
      <c r="F129" s="1"/>
      <c r="G129" s="9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00"/>
      <c r="C130" s="22"/>
      <c r="D130" s="1"/>
      <c r="E130" s="1"/>
      <c r="F130" s="1"/>
      <c r="G130" s="9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00"/>
      <c r="C131" s="22"/>
      <c r="D131" s="1"/>
      <c r="E131" s="1"/>
      <c r="F131" s="1"/>
      <c r="G131" s="9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00"/>
      <c r="C132" s="22"/>
      <c r="D132" s="1"/>
      <c r="E132" s="1"/>
      <c r="F132" s="1"/>
      <c r="G132" s="9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00"/>
      <c r="C133" s="22"/>
      <c r="D133" s="1"/>
      <c r="E133" s="1"/>
      <c r="F133" s="1"/>
      <c r="G133" s="9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00"/>
      <c r="C134" s="22"/>
      <c r="D134" s="1"/>
      <c r="E134" s="1"/>
      <c r="F134" s="1"/>
      <c r="G134" s="9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00"/>
      <c r="C135" s="22"/>
      <c r="D135" s="1"/>
      <c r="E135" s="1"/>
      <c r="F135" s="1"/>
      <c r="G135" s="9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00"/>
      <c r="C136" s="22"/>
      <c r="D136" s="1"/>
      <c r="E136" s="1"/>
      <c r="F136" s="1"/>
      <c r="G136" s="9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00"/>
      <c r="C137" s="22"/>
      <c r="D137" s="1"/>
      <c r="E137" s="1"/>
      <c r="F137" s="1"/>
      <c r="G137" s="9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00"/>
      <c r="C138" s="22"/>
      <c r="D138" s="1"/>
      <c r="E138" s="1"/>
      <c r="F138" s="1"/>
      <c r="G138" s="9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00"/>
      <c r="C139" s="22"/>
      <c r="D139" s="1"/>
      <c r="E139" s="1"/>
      <c r="F139" s="1"/>
      <c r="G139" s="9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00"/>
      <c r="C140" s="22"/>
      <c r="D140" s="1"/>
      <c r="E140" s="1"/>
      <c r="F140" s="1"/>
      <c r="G140" s="9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00"/>
      <c r="C141" s="22"/>
      <c r="D141" s="1"/>
      <c r="E141" s="1"/>
      <c r="F141" s="1"/>
      <c r="G141" s="9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00"/>
      <c r="C142" s="22"/>
      <c r="D142" s="1"/>
      <c r="E142" s="1"/>
      <c r="F142" s="1"/>
      <c r="G142" s="9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00"/>
      <c r="C143" s="22"/>
      <c r="D143" s="1"/>
      <c r="E143" s="1"/>
      <c r="F143" s="1"/>
      <c r="G143" s="9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00"/>
      <c r="C144" s="22"/>
      <c r="D144" s="1"/>
      <c r="E144" s="1"/>
      <c r="F144" s="1"/>
      <c r="G144" s="9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00"/>
      <c r="C145" s="22"/>
      <c r="D145" s="1"/>
      <c r="E145" s="1"/>
      <c r="F145" s="1"/>
      <c r="G145" s="9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00"/>
      <c r="C146" s="22"/>
      <c r="D146" s="1"/>
      <c r="E146" s="1"/>
      <c r="F146" s="1"/>
      <c r="G146" s="9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00"/>
      <c r="C147" s="22"/>
      <c r="D147" s="1"/>
      <c r="E147" s="1"/>
      <c r="F147" s="1"/>
      <c r="G147" s="9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00"/>
      <c r="C148" s="22"/>
      <c r="D148" s="1"/>
      <c r="E148" s="1"/>
      <c r="F148" s="1"/>
      <c r="G148" s="9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00"/>
      <c r="C149" s="22"/>
      <c r="D149" s="1"/>
      <c r="E149" s="1"/>
      <c r="F149" s="1"/>
      <c r="G149" s="9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00"/>
      <c r="C150" s="22"/>
      <c r="D150" s="1"/>
      <c r="E150" s="1"/>
      <c r="F150" s="1"/>
      <c r="G150" s="9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00"/>
      <c r="C151" s="22"/>
      <c r="D151" s="1"/>
      <c r="E151" s="1"/>
      <c r="F151" s="1"/>
      <c r="G151" s="9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00"/>
      <c r="C152" s="22"/>
      <c r="D152" s="1"/>
      <c r="E152" s="1"/>
      <c r="F152" s="1"/>
      <c r="G152" s="9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00"/>
      <c r="C153" s="22"/>
      <c r="D153" s="1"/>
      <c r="E153" s="1"/>
      <c r="F153" s="1"/>
      <c r="G153" s="9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00"/>
      <c r="C154" s="22"/>
      <c r="D154" s="1"/>
      <c r="E154" s="1"/>
      <c r="F154" s="1"/>
      <c r="G154" s="9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00"/>
      <c r="C155" s="22"/>
      <c r="D155" s="1"/>
      <c r="E155" s="1"/>
      <c r="F155" s="1"/>
      <c r="G155" s="9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00"/>
      <c r="C156" s="22"/>
      <c r="D156" s="1"/>
      <c r="E156" s="1"/>
      <c r="F156" s="1"/>
      <c r="G156" s="9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00"/>
      <c r="C157" s="22"/>
      <c r="D157" s="1"/>
      <c r="E157" s="1"/>
      <c r="F157" s="1"/>
      <c r="G157" s="9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00"/>
      <c r="C158" s="22"/>
      <c r="D158" s="1"/>
      <c r="E158" s="1"/>
      <c r="F158" s="1"/>
      <c r="G158" s="9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00"/>
      <c r="C159" s="22"/>
      <c r="D159" s="1"/>
      <c r="E159" s="1"/>
      <c r="F159" s="1"/>
      <c r="G159" s="9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00"/>
      <c r="C160" s="22"/>
      <c r="D160" s="1"/>
      <c r="E160" s="1"/>
      <c r="F160" s="1"/>
      <c r="G160" s="9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00"/>
      <c r="C161" s="22"/>
      <c r="D161" s="1"/>
      <c r="E161" s="1"/>
      <c r="F161" s="1"/>
      <c r="G161" s="9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00"/>
      <c r="C162" s="22"/>
      <c r="D162" s="1"/>
      <c r="E162" s="1"/>
      <c r="F162" s="1"/>
      <c r="G162" s="9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00"/>
      <c r="C163" s="22"/>
      <c r="D163" s="1"/>
      <c r="E163" s="1"/>
      <c r="F163" s="1"/>
      <c r="G163" s="9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00"/>
      <c r="C164" s="22"/>
      <c r="D164" s="1"/>
      <c r="E164" s="1"/>
      <c r="F164" s="1"/>
      <c r="G164" s="9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00"/>
      <c r="C165" s="22"/>
      <c r="D165" s="1"/>
      <c r="E165" s="1"/>
      <c r="F165" s="1"/>
      <c r="G165" s="9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00"/>
      <c r="C166" s="22"/>
      <c r="D166" s="1"/>
      <c r="E166" s="1"/>
      <c r="F166" s="1"/>
      <c r="G166" s="9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00"/>
      <c r="C167" s="22"/>
      <c r="D167" s="1"/>
      <c r="E167" s="1"/>
      <c r="F167" s="1"/>
      <c r="G167" s="9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00"/>
      <c r="C168" s="22"/>
      <c r="D168" s="1"/>
      <c r="E168" s="1"/>
      <c r="F168" s="1"/>
      <c r="G168" s="9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00"/>
      <c r="C169" s="22"/>
      <c r="D169" s="1"/>
      <c r="E169" s="1"/>
      <c r="F169" s="1"/>
      <c r="G169" s="9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00"/>
      <c r="C170" s="22"/>
      <c r="D170" s="1"/>
      <c r="E170" s="1"/>
      <c r="F170" s="1"/>
      <c r="G170" s="9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00"/>
      <c r="C171" s="22"/>
      <c r="D171" s="1"/>
      <c r="E171" s="1"/>
      <c r="F171" s="1"/>
      <c r="G171" s="9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00"/>
      <c r="C172" s="22"/>
      <c r="D172" s="1"/>
      <c r="E172" s="1"/>
      <c r="F172" s="1"/>
      <c r="G172" s="9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00"/>
      <c r="C173" s="22"/>
      <c r="D173" s="1"/>
      <c r="E173" s="1"/>
      <c r="F173" s="1"/>
      <c r="G173" s="9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00"/>
      <c r="C174" s="22"/>
      <c r="D174" s="1"/>
      <c r="E174" s="1"/>
      <c r="F174" s="1"/>
      <c r="G174" s="9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00"/>
      <c r="C175" s="22"/>
      <c r="D175" s="1"/>
      <c r="E175" s="1"/>
      <c r="F175" s="1"/>
      <c r="G175" s="9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00"/>
      <c r="C176" s="22"/>
      <c r="D176" s="1"/>
      <c r="E176" s="1"/>
      <c r="F176" s="1"/>
      <c r="G176" s="9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00"/>
      <c r="C177" s="22"/>
      <c r="D177" s="1"/>
      <c r="E177" s="1"/>
      <c r="F177" s="1"/>
      <c r="G177" s="9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00"/>
      <c r="C178" s="22"/>
      <c r="D178" s="1"/>
      <c r="E178" s="1"/>
      <c r="F178" s="1"/>
      <c r="G178" s="9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00"/>
      <c r="C179" s="22"/>
      <c r="D179" s="1"/>
      <c r="E179" s="1"/>
      <c r="F179" s="1"/>
      <c r="G179" s="9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00"/>
      <c r="C180" s="22"/>
      <c r="D180" s="1"/>
      <c r="E180" s="1"/>
      <c r="F180" s="1"/>
      <c r="G180" s="9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00"/>
      <c r="C181" s="22"/>
      <c r="D181" s="1"/>
      <c r="E181" s="1"/>
      <c r="F181" s="1"/>
      <c r="G181" s="9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00"/>
      <c r="C182" s="22"/>
      <c r="D182" s="1"/>
      <c r="E182" s="1"/>
      <c r="F182" s="1"/>
      <c r="G182" s="9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00"/>
      <c r="C183" s="22"/>
      <c r="D183" s="1"/>
      <c r="E183" s="1"/>
      <c r="F183" s="1"/>
      <c r="G183" s="9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00"/>
      <c r="C184" s="22"/>
      <c r="D184" s="1"/>
      <c r="E184" s="1"/>
      <c r="F184" s="1"/>
      <c r="G184" s="9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00"/>
      <c r="C185" s="22"/>
      <c r="D185" s="1"/>
      <c r="E185" s="1"/>
      <c r="F185" s="1"/>
      <c r="G185" s="9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00"/>
      <c r="C186" s="22"/>
      <c r="D186" s="1"/>
      <c r="E186" s="1"/>
      <c r="F186" s="1"/>
      <c r="G186" s="9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00"/>
      <c r="C187" s="22"/>
      <c r="D187" s="1"/>
      <c r="E187" s="1"/>
      <c r="F187" s="1"/>
      <c r="G187" s="9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00"/>
      <c r="C188" s="22"/>
      <c r="D188" s="1"/>
      <c r="E188" s="1"/>
      <c r="F188" s="1"/>
      <c r="G188" s="9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00"/>
      <c r="C189" s="22"/>
      <c r="D189" s="1"/>
      <c r="E189" s="1"/>
      <c r="F189" s="1"/>
      <c r="G189" s="9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00"/>
      <c r="C190" s="22"/>
      <c r="D190" s="1"/>
      <c r="E190" s="1"/>
      <c r="F190" s="1"/>
      <c r="G190" s="9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00"/>
      <c r="C191" s="22"/>
      <c r="D191" s="1"/>
      <c r="E191" s="1"/>
      <c r="F191" s="1"/>
      <c r="G191" s="9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00"/>
      <c r="C192" s="22"/>
      <c r="D192" s="1"/>
      <c r="E192" s="1"/>
      <c r="F192" s="1"/>
      <c r="G192" s="9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00"/>
      <c r="C193" s="22"/>
      <c r="D193" s="1"/>
      <c r="E193" s="1"/>
      <c r="F193" s="1"/>
      <c r="G193" s="9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00"/>
      <c r="C194" s="22"/>
      <c r="D194" s="1"/>
      <c r="E194" s="1"/>
      <c r="F194" s="1"/>
      <c r="G194" s="9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00"/>
      <c r="C195" s="22"/>
      <c r="D195" s="1"/>
      <c r="E195" s="1"/>
      <c r="F195" s="1"/>
      <c r="G195" s="9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00"/>
      <c r="C196" s="22"/>
      <c r="D196" s="1"/>
      <c r="E196" s="1"/>
      <c r="F196" s="1"/>
      <c r="G196" s="9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00"/>
      <c r="C197" s="22"/>
      <c r="D197" s="1"/>
      <c r="E197" s="1"/>
      <c r="F197" s="1"/>
      <c r="G197" s="9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00"/>
      <c r="C198" s="22"/>
      <c r="D198" s="1"/>
      <c r="E198" s="1"/>
      <c r="F198" s="1"/>
      <c r="G198" s="9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00"/>
      <c r="C199" s="22"/>
      <c r="D199" s="1"/>
      <c r="E199" s="1"/>
      <c r="F199" s="1"/>
      <c r="G199" s="9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00"/>
      <c r="C200" s="22"/>
      <c r="D200" s="1"/>
      <c r="E200" s="1"/>
      <c r="F200" s="1"/>
      <c r="G200" s="9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00"/>
      <c r="C201" s="22"/>
      <c r="D201" s="1"/>
      <c r="E201" s="1"/>
      <c r="F201" s="1"/>
      <c r="G201" s="9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00"/>
      <c r="C202" s="22"/>
      <c r="D202" s="1"/>
      <c r="E202" s="1"/>
      <c r="F202" s="1"/>
      <c r="G202" s="9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00"/>
      <c r="C203" s="22"/>
      <c r="D203" s="1"/>
      <c r="E203" s="1"/>
      <c r="F203" s="1"/>
      <c r="G203" s="9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00"/>
      <c r="C204" s="22"/>
      <c r="D204" s="1"/>
      <c r="E204" s="1"/>
      <c r="F204" s="1"/>
      <c r="G204" s="9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00"/>
      <c r="C205" s="22"/>
      <c r="D205" s="1"/>
      <c r="E205" s="1"/>
      <c r="F205" s="1"/>
      <c r="G205" s="9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00"/>
      <c r="C206" s="22"/>
      <c r="D206" s="1"/>
      <c r="E206" s="1"/>
      <c r="F206" s="1"/>
      <c r="G206" s="9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00"/>
      <c r="C207" s="22"/>
      <c r="D207" s="1"/>
      <c r="E207" s="1"/>
      <c r="F207" s="1"/>
      <c r="G207" s="9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00"/>
      <c r="C208" s="22"/>
      <c r="D208" s="1"/>
      <c r="E208" s="1"/>
      <c r="F208" s="1"/>
      <c r="G208" s="9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00"/>
      <c r="C209" s="22"/>
      <c r="D209" s="1"/>
      <c r="E209" s="1"/>
      <c r="F209" s="1"/>
      <c r="G209" s="9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00"/>
      <c r="C210" s="22"/>
      <c r="D210" s="1"/>
      <c r="E210" s="1"/>
      <c r="F210" s="1"/>
      <c r="G210" s="9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00"/>
      <c r="C211" s="22"/>
      <c r="D211" s="1"/>
      <c r="E211" s="1"/>
      <c r="F211" s="1"/>
      <c r="G211" s="9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00"/>
      <c r="C212" s="22"/>
      <c r="D212" s="1"/>
      <c r="E212" s="1"/>
      <c r="F212" s="1"/>
      <c r="G212" s="9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00"/>
      <c r="C213" s="22"/>
      <c r="D213" s="1"/>
      <c r="E213" s="1"/>
      <c r="F213" s="1"/>
      <c r="G213" s="9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00"/>
      <c r="C214" s="22"/>
      <c r="D214" s="1"/>
      <c r="E214" s="1"/>
      <c r="F214" s="1"/>
      <c r="G214" s="9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00"/>
      <c r="C215" s="22"/>
      <c r="D215" s="1"/>
      <c r="E215" s="1"/>
      <c r="F215" s="1"/>
      <c r="G215" s="9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00"/>
      <c r="C216" s="22"/>
      <c r="D216" s="1"/>
      <c r="E216" s="1"/>
      <c r="F216" s="1"/>
      <c r="G216" s="9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00"/>
      <c r="C217" s="22"/>
      <c r="D217" s="1"/>
      <c r="E217" s="1"/>
      <c r="F217" s="1"/>
      <c r="G217" s="9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00"/>
      <c r="C218" s="22"/>
      <c r="D218" s="1"/>
      <c r="E218" s="1"/>
      <c r="F218" s="1"/>
      <c r="G218" s="9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00"/>
      <c r="C219" s="22"/>
      <c r="D219" s="1"/>
      <c r="E219" s="1"/>
      <c r="F219" s="1"/>
      <c r="G219" s="9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00"/>
      <c r="C220" s="22"/>
      <c r="D220" s="1"/>
      <c r="E220" s="1"/>
      <c r="F220" s="1"/>
      <c r="G220" s="9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00"/>
      <c r="C221" s="22"/>
      <c r="D221" s="1"/>
      <c r="E221" s="1"/>
      <c r="F221" s="1"/>
      <c r="G221" s="9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00"/>
      <c r="C222" s="22"/>
      <c r="D222" s="1"/>
      <c r="E222" s="1"/>
      <c r="F222" s="1"/>
      <c r="G222" s="9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00"/>
      <c r="C223" s="22"/>
      <c r="D223" s="1"/>
      <c r="E223" s="1"/>
      <c r="F223" s="1"/>
      <c r="G223" s="9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00"/>
      <c r="C224" s="22"/>
      <c r="D224" s="1"/>
      <c r="E224" s="1"/>
      <c r="F224" s="1"/>
      <c r="G224" s="9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00"/>
      <c r="C225" s="22"/>
      <c r="D225" s="1"/>
      <c r="E225" s="1"/>
      <c r="F225" s="1"/>
      <c r="G225" s="9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00"/>
      <c r="C226" s="22"/>
      <c r="D226" s="1"/>
      <c r="E226" s="1"/>
      <c r="F226" s="1"/>
      <c r="G226" s="9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00"/>
      <c r="C227" s="22"/>
      <c r="D227" s="1"/>
      <c r="E227" s="1"/>
      <c r="F227" s="1"/>
      <c r="G227" s="9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00"/>
      <c r="C228" s="22"/>
      <c r="D228" s="1"/>
      <c r="E228" s="1"/>
      <c r="F228" s="1"/>
      <c r="G228" s="9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00"/>
      <c r="C229" s="22"/>
      <c r="D229" s="1"/>
      <c r="E229" s="1"/>
      <c r="F229" s="1"/>
      <c r="G229" s="9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00"/>
      <c r="C230" s="22"/>
      <c r="D230" s="1"/>
      <c r="E230" s="1"/>
      <c r="F230" s="1"/>
      <c r="G230" s="9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00"/>
      <c r="C231" s="22"/>
      <c r="D231" s="1"/>
      <c r="E231" s="1"/>
      <c r="F231" s="1"/>
      <c r="G231" s="9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00"/>
      <c r="C232" s="22"/>
      <c r="D232" s="1"/>
      <c r="E232" s="1"/>
      <c r="F232" s="1"/>
      <c r="G232" s="9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00"/>
      <c r="C233" s="22"/>
      <c r="D233" s="1"/>
      <c r="E233" s="1"/>
      <c r="F233" s="1"/>
      <c r="G233" s="9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00"/>
      <c r="C234" s="22"/>
      <c r="D234" s="1"/>
      <c r="E234" s="1"/>
      <c r="F234" s="1"/>
      <c r="G234" s="9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00"/>
      <c r="C235" s="22"/>
      <c r="D235" s="1"/>
      <c r="E235" s="1"/>
      <c r="F235" s="1"/>
      <c r="G235" s="9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00"/>
      <c r="C236" s="22"/>
      <c r="D236" s="1"/>
      <c r="E236" s="1"/>
      <c r="F236" s="1"/>
      <c r="G236" s="9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00"/>
      <c r="C237" s="22"/>
      <c r="D237" s="1"/>
      <c r="E237" s="1"/>
      <c r="F237" s="1"/>
      <c r="G237" s="9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00"/>
      <c r="C238" s="22"/>
      <c r="D238" s="1"/>
      <c r="E238" s="1"/>
      <c r="F238" s="1"/>
      <c r="G238" s="9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00"/>
      <c r="C239" s="22"/>
      <c r="D239" s="1"/>
      <c r="E239" s="1"/>
      <c r="F239" s="1"/>
      <c r="G239" s="9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00"/>
      <c r="C240" s="22"/>
      <c r="D240" s="1"/>
      <c r="E240" s="1"/>
      <c r="F240" s="1"/>
      <c r="G240" s="9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00"/>
      <c r="C241" s="22"/>
      <c r="D241" s="1"/>
      <c r="E241" s="1"/>
      <c r="F241" s="1"/>
      <c r="G241" s="9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00"/>
      <c r="C242" s="22"/>
      <c r="D242" s="1"/>
      <c r="E242" s="1"/>
      <c r="F242" s="1"/>
      <c r="G242" s="9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00"/>
      <c r="C243" s="22"/>
      <c r="D243" s="1"/>
      <c r="E243" s="1"/>
      <c r="F243" s="1"/>
      <c r="G243" s="9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00"/>
      <c r="C244" s="22"/>
      <c r="D244" s="1"/>
      <c r="E244" s="1"/>
      <c r="F244" s="1"/>
      <c r="G244" s="9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00"/>
      <c r="C245" s="22"/>
      <c r="D245" s="1"/>
      <c r="E245" s="1"/>
      <c r="F245" s="1"/>
      <c r="G245" s="9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00"/>
      <c r="C246" s="22"/>
      <c r="D246" s="1"/>
      <c r="E246" s="1"/>
      <c r="F246" s="1"/>
      <c r="G246" s="9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00"/>
      <c r="C247" s="22"/>
      <c r="D247" s="1"/>
      <c r="E247" s="1"/>
      <c r="F247" s="1"/>
      <c r="G247" s="9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00"/>
      <c r="C248" s="22"/>
      <c r="D248" s="1"/>
      <c r="E248" s="1"/>
      <c r="F248" s="1"/>
      <c r="G248" s="9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00"/>
      <c r="C249" s="22"/>
      <c r="D249" s="1"/>
      <c r="E249" s="1"/>
      <c r="F249" s="1"/>
      <c r="G249" s="9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00"/>
      <c r="C250" s="22"/>
      <c r="D250" s="1"/>
      <c r="E250" s="1"/>
      <c r="F250" s="1"/>
      <c r="G250" s="9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00"/>
      <c r="C251" s="22"/>
      <c r="D251" s="1"/>
      <c r="E251" s="1"/>
      <c r="F251" s="1"/>
      <c r="G251" s="9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00"/>
      <c r="C252" s="22"/>
      <c r="D252" s="1"/>
      <c r="E252" s="1"/>
      <c r="F252" s="1"/>
      <c r="G252" s="9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00"/>
      <c r="C253" s="22"/>
      <c r="D253" s="1"/>
      <c r="E253" s="1"/>
      <c r="F253" s="1"/>
      <c r="G253" s="9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00"/>
      <c r="C254" s="22"/>
      <c r="D254" s="1"/>
      <c r="E254" s="1"/>
      <c r="F254" s="1"/>
      <c r="G254" s="9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00"/>
      <c r="C255" s="22"/>
      <c r="D255" s="1"/>
      <c r="E255" s="1"/>
      <c r="F255" s="1"/>
      <c r="G255" s="9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00"/>
      <c r="C256" s="22"/>
      <c r="D256" s="1"/>
      <c r="E256" s="1"/>
      <c r="F256" s="1"/>
      <c r="G256" s="9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00"/>
      <c r="C257" s="22"/>
      <c r="D257" s="1"/>
      <c r="E257" s="1"/>
      <c r="F257" s="1"/>
      <c r="G257" s="9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00"/>
      <c r="C258" s="22"/>
      <c r="D258" s="1"/>
      <c r="E258" s="1"/>
      <c r="F258" s="1"/>
      <c r="G258" s="9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00"/>
      <c r="C259" s="22"/>
      <c r="D259" s="1"/>
      <c r="E259" s="1"/>
      <c r="F259" s="1"/>
      <c r="G259" s="9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00"/>
      <c r="C260" s="22"/>
      <c r="D260" s="1"/>
      <c r="E260" s="1"/>
      <c r="F260" s="1"/>
      <c r="G260" s="9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00"/>
      <c r="C261" s="22"/>
      <c r="D261" s="1"/>
      <c r="E261" s="1"/>
      <c r="F261" s="1"/>
      <c r="G261" s="9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00"/>
      <c r="C262" s="22"/>
      <c r="D262" s="1"/>
      <c r="E262" s="1"/>
      <c r="F262" s="1"/>
      <c r="G262" s="9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00"/>
      <c r="C263" s="22"/>
      <c r="D263" s="1"/>
      <c r="E263" s="1"/>
      <c r="F263" s="1"/>
      <c r="G263" s="9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00"/>
      <c r="C264" s="22"/>
      <c r="D264" s="1"/>
      <c r="E264" s="1"/>
      <c r="F264" s="1"/>
      <c r="G264" s="9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00"/>
      <c r="C265" s="22"/>
      <c r="D265" s="1"/>
      <c r="E265" s="1"/>
      <c r="F265" s="1"/>
      <c r="G265" s="9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00"/>
      <c r="C266" s="22"/>
      <c r="D266" s="1"/>
      <c r="E266" s="1"/>
      <c r="F266" s="1"/>
      <c r="G266" s="9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00"/>
      <c r="C267" s="22"/>
      <c r="D267" s="1"/>
      <c r="E267" s="1"/>
      <c r="F267" s="1"/>
      <c r="G267" s="9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00"/>
      <c r="C268" s="22"/>
      <c r="D268" s="1"/>
      <c r="E268" s="1"/>
      <c r="F268" s="1"/>
      <c r="G268" s="9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00"/>
      <c r="C269" s="22"/>
      <c r="D269" s="1"/>
      <c r="E269" s="1"/>
      <c r="F269" s="1"/>
      <c r="G269" s="9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00"/>
      <c r="C270" s="22"/>
      <c r="D270" s="1"/>
      <c r="E270" s="1"/>
      <c r="F270" s="1"/>
      <c r="G270" s="9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00"/>
      <c r="C271" s="22"/>
      <c r="D271" s="1"/>
      <c r="E271" s="1"/>
      <c r="F271" s="1"/>
      <c r="G271" s="9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00"/>
      <c r="C272" s="22"/>
      <c r="D272" s="1"/>
      <c r="E272" s="1"/>
      <c r="F272" s="1"/>
      <c r="G272" s="9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00"/>
      <c r="C273" s="22"/>
      <c r="D273" s="1"/>
      <c r="E273" s="1"/>
      <c r="F273" s="1"/>
      <c r="G273" s="9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00"/>
      <c r="C274" s="22"/>
      <c r="D274" s="1"/>
      <c r="E274" s="1"/>
      <c r="F274" s="1"/>
      <c r="G274" s="9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00"/>
      <c r="C275" s="22"/>
      <c r="D275" s="1"/>
      <c r="E275" s="1"/>
      <c r="F275" s="1"/>
      <c r="G275" s="9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00"/>
      <c r="C276" s="22"/>
      <c r="D276" s="1"/>
      <c r="E276" s="1"/>
      <c r="F276" s="1"/>
      <c r="G276" s="9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00"/>
      <c r="C277" s="22"/>
      <c r="D277" s="1"/>
      <c r="E277" s="1"/>
      <c r="F277" s="1"/>
      <c r="G277" s="9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00"/>
      <c r="C278" s="22"/>
      <c r="D278" s="1"/>
      <c r="E278" s="1"/>
      <c r="F278" s="1"/>
      <c r="G278" s="9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00"/>
      <c r="C279" s="22"/>
      <c r="D279" s="1"/>
      <c r="E279" s="1"/>
      <c r="F279" s="1"/>
      <c r="G279" s="9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00"/>
      <c r="C280" s="22"/>
      <c r="D280" s="1"/>
      <c r="E280" s="1"/>
      <c r="F280" s="1"/>
      <c r="G280" s="9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00"/>
      <c r="C281" s="22"/>
      <c r="D281" s="1"/>
      <c r="E281" s="1"/>
      <c r="F281" s="1"/>
      <c r="G281" s="9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00"/>
      <c r="C282" s="22"/>
      <c r="D282" s="1"/>
      <c r="E282" s="1"/>
      <c r="F282" s="1"/>
      <c r="G282" s="9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00"/>
      <c r="C283" s="22"/>
      <c r="D283" s="1"/>
      <c r="E283" s="1"/>
      <c r="F283" s="1"/>
      <c r="G283" s="9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00"/>
      <c r="C284" s="22"/>
      <c r="D284" s="1"/>
      <c r="E284" s="1"/>
      <c r="F284" s="1"/>
      <c r="G284" s="9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00"/>
      <c r="C285" s="22"/>
      <c r="D285" s="1"/>
      <c r="E285" s="1"/>
      <c r="F285" s="1"/>
      <c r="G285" s="9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00"/>
      <c r="C286" s="22"/>
      <c r="D286" s="1"/>
      <c r="E286" s="1"/>
      <c r="F286" s="1"/>
      <c r="G286" s="9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00"/>
      <c r="C287" s="22"/>
      <c r="D287" s="1"/>
      <c r="E287" s="1"/>
      <c r="F287" s="1"/>
      <c r="G287" s="9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00"/>
      <c r="C288" s="22"/>
      <c r="D288" s="1"/>
      <c r="E288" s="1"/>
      <c r="F288" s="1"/>
      <c r="G288" s="9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00"/>
      <c r="C289" s="22"/>
      <c r="D289" s="1"/>
      <c r="E289" s="1"/>
      <c r="F289" s="1"/>
      <c r="G289" s="9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00"/>
      <c r="C290" s="22"/>
      <c r="D290" s="1"/>
      <c r="E290" s="1"/>
      <c r="F290" s="1"/>
      <c r="G290" s="9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00"/>
      <c r="C291" s="22"/>
      <c r="D291" s="1"/>
      <c r="E291" s="1"/>
      <c r="F291" s="1"/>
      <c r="G291" s="9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00"/>
      <c r="C292" s="22"/>
      <c r="D292" s="1"/>
      <c r="E292" s="1"/>
      <c r="F292" s="1"/>
      <c r="G292" s="9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00"/>
      <c r="C293" s="22"/>
      <c r="D293" s="1"/>
      <c r="E293" s="1"/>
      <c r="F293" s="1"/>
      <c r="G293" s="9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00"/>
      <c r="C294" s="22"/>
      <c r="D294" s="1"/>
      <c r="E294" s="1"/>
      <c r="F294" s="1"/>
      <c r="G294" s="9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00"/>
      <c r="C295" s="22"/>
      <c r="D295" s="1"/>
      <c r="E295" s="1"/>
      <c r="F295" s="1"/>
      <c r="G295" s="9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00"/>
      <c r="C296" s="22"/>
      <c r="D296" s="1"/>
      <c r="E296" s="1"/>
      <c r="F296" s="1"/>
      <c r="G296" s="9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00"/>
      <c r="C297" s="22"/>
      <c r="D297" s="1"/>
      <c r="E297" s="1"/>
      <c r="F297" s="1"/>
      <c r="G297" s="9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00"/>
      <c r="C298" s="22"/>
      <c r="D298" s="1"/>
      <c r="E298" s="1"/>
      <c r="F298" s="1"/>
      <c r="G298" s="9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00"/>
      <c r="C299" s="22"/>
      <c r="D299" s="1"/>
      <c r="E299" s="1"/>
      <c r="F299" s="1"/>
      <c r="G299" s="9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00"/>
      <c r="C300" s="22"/>
      <c r="D300" s="1"/>
      <c r="E300" s="1"/>
      <c r="F300" s="1"/>
      <c r="G300" s="9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00"/>
      <c r="C301" s="22"/>
      <c r="D301" s="1"/>
      <c r="E301" s="1"/>
      <c r="F301" s="1"/>
      <c r="G301" s="9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00"/>
      <c r="C302" s="22"/>
      <c r="D302" s="1"/>
      <c r="E302" s="1"/>
      <c r="F302" s="1"/>
      <c r="G302" s="9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00"/>
      <c r="C303" s="22"/>
      <c r="D303" s="1"/>
      <c r="E303" s="1"/>
      <c r="F303" s="1"/>
      <c r="G303" s="9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00"/>
      <c r="C304" s="22"/>
      <c r="D304" s="1"/>
      <c r="E304" s="1"/>
      <c r="F304" s="1"/>
      <c r="G304" s="9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00"/>
      <c r="C305" s="22"/>
      <c r="D305" s="1"/>
      <c r="E305" s="1"/>
      <c r="F305" s="1"/>
      <c r="G305" s="9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00"/>
      <c r="C306" s="22"/>
      <c r="D306" s="1"/>
      <c r="E306" s="1"/>
      <c r="F306" s="1"/>
      <c r="G306" s="9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00"/>
      <c r="C307" s="22"/>
      <c r="D307" s="1"/>
      <c r="E307" s="1"/>
      <c r="F307" s="1"/>
      <c r="G307" s="9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00"/>
      <c r="C308" s="22"/>
      <c r="D308" s="1"/>
      <c r="E308" s="1"/>
      <c r="F308" s="1"/>
      <c r="G308" s="9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00"/>
      <c r="C309" s="22"/>
      <c r="D309" s="1"/>
      <c r="E309" s="1"/>
      <c r="F309" s="1"/>
      <c r="G309" s="9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00"/>
      <c r="C310" s="22"/>
      <c r="D310" s="1"/>
      <c r="E310" s="1"/>
      <c r="F310" s="1"/>
      <c r="G310" s="9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00"/>
      <c r="C311" s="22"/>
      <c r="D311" s="1"/>
      <c r="E311" s="1"/>
      <c r="F311" s="1"/>
      <c r="G311" s="9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00"/>
      <c r="C312" s="22"/>
      <c r="D312" s="1"/>
      <c r="E312" s="1"/>
      <c r="F312" s="1"/>
      <c r="G312" s="9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00"/>
      <c r="C313" s="22"/>
      <c r="D313" s="1"/>
      <c r="E313" s="1"/>
      <c r="F313" s="1"/>
      <c r="G313" s="9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00"/>
      <c r="C314" s="22"/>
      <c r="D314" s="1"/>
      <c r="E314" s="1"/>
      <c r="F314" s="1"/>
      <c r="G314" s="9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00"/>
      <c r="C315" s="22"/>
      <c r="D315" s="1"/>
      <c r="E315" s="1"/>
      <c r="F315" s="1"/>
      <c r="G315" s="9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00"/>
      <c r="C316" s="22"/>
      <c r="D316" s="1"/>
      <c r="E316" s="1"/>
      <c r="F316" s="1"/>
      <c r="G316" s="9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00"/>
      <c r="C317" s="22"/>
      <c r="D317" s="1"/>
      <c r="E317" s="1"/>
      <c r="F317" s="1"/>
      <c r="G317" s="9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00"/>
      <c r="C318" s="22"/>
      <c r="D318" s="1"/>
      <c r="E318" s="1"/>
      <c r="F318" s="1"/>
      <c r="G318" s="9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00"/>
      <c r="C319" s="22"/>
      <c r="D319" s="1"/>
      <c r="E319" s="1"/>
      <c r="F319" s="1"/>
      <c r="G319" s="9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00"/>
      <c r="C320" s="22"/>
      <c r="D320" s="1"/>
      <c r="E320" s="1"/>
      <c r="F320" s="1"/>
      <c r="G320" s="9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00"/>
      <c r="C321" s="22"/>
      <c r="D321" s="1"/>
      <c r="E321" s="1"/>
      <c r="F321" s="1"/>
      <c r="G321" s="9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00"/>
      <c r="C322" s="22"/>
      <c r="D322" s="1"/>
      <c r="E322" s="1"/>
      <c r="F322" s="1"/>
      <c r="G322" s="9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00"/>
      <c r="C323" s="22"/>
      <c r="D323" s="1"/>
      <c r="E323" s="1"/>
      <c r="F323" s="1"/>
      <c r="G323" s="9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00"/>
      <c r="C324" s="22"/>
      <c r="D324" s="1"/>
      <c r="E324" s="1"/>
      <c r="F324" s="1"/>
      <c r="G324" s="9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00"/>
      <c r="C325" s="22"/>
      <c r="D325" s="1"/>
      <c r="E325" s="1"/>
      <c r="F325" s="1"/>
      <c r="G325" s="9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00"/>
      <c r="C326" s="22"/>
      <c r="D326" s="1"/>
      <c r="E326" s="1"/>
      <c r="F326" s="1"/>
      <c r="G326" s="9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00"/>
      <c r="C327" s="22"/>
      <c r="D327" s="1"/>
      <c r="E327" s="1"/>
      <c r="F327" s="1"/>
      <c r="G327" s="9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00"/>
      <c r="C328" s="22"/>
      <c r="D328" s="1"/>
      <c r="E328" s="1"/>
      <c r="F328" s="1"/>
      <c r="G328" s="9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00"/>
      <c r="C329" s="22"/>
      <c r="D329" s="1"/>
      <c r="E329" s="1"/>
      <c r="F329" s="1"/>
      <c r="G329" s="9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00"/>
      <c r="C330" s="22"/>
      <c r="D330" s="1"/>
      <c r="E330" s="1"/>
      <c r="F330" s="1"/>
      <c r="G330" s="9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00"/>
      <c r="C331" s="22"/>
      <c r="D331" s="1"/>
      <c r="E331" s="1"/>
      <c r="F331" s="1"/>
      <c r="G331" s="9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00"/>
      <c r="C332" s="22"/>
      <c r="D332" s="1"/>
      <c r="E332" s="1"/>
      <c r="F332" s="1"/>
      <c r="G332" s="9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00"/>
      <c r="C333" s="22"/>
      <c r="D333" s="1"/>
      <c r="E333" s="1"/>
      <c r="F333" s="1"/>
      <c r="G333" s="9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00"/>
      <c r="C334" s="22"/>
      <c r="D334" s="1"/>
      <c r="E334" s="1"/>
      <c r="F334" s="1"/>
      <c r="G334" s="9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00"/>
      <c r="C335" s="22"/>
      <c r="D335" s="1"/>
      <c r="E335" s="1"/>
      <c r="F335" s="1"/>
      <c r="G335" s="9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00"/>
      <c r="C336" s="22"/>
      <c r="D336" s="1"/>
      <c r="E336" s="1"/>
      <c r="F336" s="1"/>
      <c r="G336" s="9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00"/>
      <c r="C337" s="22"/>
      <c r="D337" s="1"/>
      <c r="E337" s="1"/>
      <c r="F337" s="1"/>
      <c r="G337" s="9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00"/>
      <c r="C338" s="22"/>
      <c r="D338" s="1"/>
      <c r="E338" s="1"/>
      <c r="F338" s="1"/>
      <c r="G338" s="9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00"/>
      <c r="C339" s="22"/>
      <c r="D339" s="1"/>
      <c r="E339" s="1"/>
      <c r="F339" s="1"/>
      <c r="G339" s="9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00"/>
      <c r="C340" s="22"/>
      <c r="D340" s="1"/>
      <c r="E340" s="1"/>
      <c r="F340" s="1"/>
      <c r="G340" s="9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00"/>
      <c r="C341" s="22"/>
      <c r="D341" s="1"/>
      <c r="E341" s="1"/>
      <c r="F341" s="1"/>
      <c r="G341" s="9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00"/>
      <c r="C342" s="22"/>
      <c r="D342" s="1"/>
      <c r="E342" s="1"/>
      <c r="F342" s="1"/>
      <c r="G342" s="9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00"/>
      <c r="C343" s="22"/>
      <c r="D343" s="1"/>
      <c r="E343" s="1"/>
      <c r="F343" s="1"/>
      <c r="G343" s="9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00"/>
      <c r="C344" s="22"/>
      <c r="D344" s="1"/>
      <c r="E344" s="1"/>
      <c r="F344" s="1"/>
      <c r="G344" s="9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00"/>
      <c r="C345" s="22"/>
      <c r="D345" s="1"/>
      <c r="E345" s="1"/>
      <c r="F345" s="1"/>
      <c r="G345" s="9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00"/>
      <c r="C346" s="22"/>
      <c r="D346" s="1"/>
      <c r="E346" s="1"/>
      <c r="F346" s="1"/>
      <c r="G346" s="9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00"/>
      <c r="C347" s="22"/>
      <c r="D347" s="1"/>
      <c r="E347" s="1"/>
      <c r="F347" s="1"/>
      <c r="G347" s="9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00"/>
      <c r="C348" s="22"/>
      <c r="D348" s="1"/>
      <c r="E348" s="1"/>
      <c r="F348" s="1"/>
      <c r="G348" s="9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00"/>
      <c r="C349" s="22"/>
      <c r="D349" s="1"/>
      <c r="E349" s="1"/>
      <c r="F349" s="1"/>
      <c r="G349" s="9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00"/>
      <c r="C350" s="22"/>
      <c r="D350" s="1"/>
      <c r="E350" s="1"/>
      <c r="F350" s="1"/>
      <c r="G350" s="9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00"/>
      <c r="C351" s="22"/>
      <c r="D351" s="1"/>
      <c r="E351" s="1"/>
      <c r="F351" s="1"/>
      <c r="G351" s="9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00"/>
      <c r="C352" s="22"/>
      <c r="D352" s="1"/>
      <c r="E352" s="1"/>
      <c r="F352" s="1"/>
      <c r="G352" s="9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00"/>
      <c r="C353" s="22"/>
      <c r="D353" s="1"/>
      <c r="E353" s="1"/>
      <c r="F353" s="1"/>
      <c r="G353" s="9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00"/>
      <c r="C354" s="22"/>
      <c r="D354" s="1"/>
      <c r="E354" s="1"/>
      <c r="F354" s="1"/>
      <c r="G354" s="9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00"/>
      <c r="C355" s="22"/>
      <c r="D355" s="1"/>
      <c r="E355" s="1"/>
      <c r="F355" s="1"/>
      <c r="G355" s="9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00"/>
      <c r="C356" s="22"/>
      <c r="D356" s="1"/>
      <c r="E356" s="1"/>
      <c r="F356" s="1"/>
      <c r="G356" s="9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00"/>
      <c r="C357" s="22"/>
      <c r="D357" s="1"/>
      <c r="E357" s="1"/>
      <c r="F357" s="1"/>
      <c r="G357" s="9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00"/>
      <c r="C358" s="22"/>
      <c r="D358" s="1"/>
      <c r="E358" s="1"/>
      <c r="F358" s="1"/>
      <c r="G358" s="9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00"/>
      <c r="C359" s="22"/>
      <c r="D359" s="1"/>
      <c r="E359" s="1"/>
      <c r="F359" s="1"/>
      <c r="G359" s="9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00"/>
      <c r="C360" s="22"/>
      <c r="D360" s="1"/>
      <c r="E360" s="1"/>
      <c r="F360" s="1"/>
      <c r="G360" s="9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00"/>
      <c r="C361" s="22"/>
      <c r="D361" s="1"/>
      <c r="E361" s="1"/>
      <c r="F361" s="1"/>
      <c r="G361" s="9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00"/>
      <c r="C362" s="22"/>
      <c r="D362" s="1"/>
      <c r="E362" s="1"/>
      <c r="F362" s="1"/>
      <c r="G362" s="9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00"/>
      <c r="C363" s="22"/>
      <c r="D363" s="1"/>
      <c r="E363" s="1"/>
      <c r="F363" s="1"/>
      <c r="G363" s="9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00"/>
      <c r="C364" s="22"/>
      <c r="D364" s="1"/>
      <c r="E364" s="1"/>
      <c r="F364" s="1"/>
      <c r="G364" s="9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00"/>
      <c r="C365" s="22"/>
      <c r="D365" s="1"/>
      <c r="E365" s="1"/>
      <c r="F365" s="1"/>
      <c r="G365" s="9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00"/>
      <c r="C366" s="22"/>
      <c r="D366" s="1"/>
      <c r="E366" s="1"/>
      <c r="F366" s="1"/>
      <c r="G366" s="9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00"/>
      <c r="C367" s="22"/>
      <c r="D367" s="1"/>
      <c r="E367" s="1"/>
      <c r="F367" s="1"/>
      <c r="G367" s="9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00"/>
      <c r="C368" s="22"/>
      <c r="D368" s="1"/>
      <c r="E368" s="1"/>
      <c r="F368" s="1"/>
      <c r="G368" s="9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00"/>
      <c r="C369" s="22"/>
      <c r="D369" s="1"/>
      <c r="E369" s="1"/>
      <c r="F369" s="1"/>
      <c r="G369" s="9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00"/>
      <c r="C370" s="22"/>
      <c r="D370" s="1"/>
      <c r="E370" s="1"/>
      <c r="F370" s="1"/>
      <c r="G370" s="9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00"/>
      <c r="C371" s="22"/>
      <c r="D371" s="1"/>
      <c r="E371" s="1"/>
      <c r="F371" s="1"/>
      <c r="G371" s="9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00"/>
      <c r="C372" s="22"/>
      <c r="D372" s="1"/>
      <c r="E372" s="1"/>
      <c r="F372" s="1"/>
      <c r="G372" s="9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00"/>
      <c r="C373" s="22"/>
      <c r="D373" s="1"/>
      <c r="E373" s="1"/>
      <c r="F373" s="1"/>
      <c r="G373" s="9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00"/>
      <c r="C374" s="22"/>
      <c r="D374" s="1"/>
      <c r="E374" s="1"/>
      <c r="F374" s="1"/>
      <c r="G374" s="9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00"/>
      <c r="C375" s="22"/>
      <c r="D375" s="1"/>
      <c r="E375" s="1"/>
      <c r="F375" s="1"/>
      <c r="G375" s="9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00"/>
      <c r="C376" s="22"/>
      <c r="D376" s="1"/>
      <c r="E376" s="1"/>
      <c r="F376" s="1"/>
      <c r="G376" s="9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00"/>
      <c r="C377" s="22"/>
      <c r="D377" s="1"/>
      <c r="E377" s="1"/>
      <c r="F377" s="1"/>
      <c r="G377" s="9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00"/>
      <c r="C378" s="22"/>
      <c r="D378" s="1"/>
      <c r="E378" s="1"/>
      <c r="F378" s="1"/>
      <c r="G378" s="9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00"/>
      <c r="C379" s="22"/>
      <c r="D379" s="1"/>
      <c r="E379" s="1"/>
      <c r="F379" s="1"/>
      <c r="G379" s="9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00"/>
      <c r="C380" s="22"/>
      <c r="D380" s="1"/>
      <c r="E380" s="1"/>
      <c r="F380" s="1"/>
      <c r="G380" s="9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00"/>
      <c r="C381" s="22"/>
      <c r="D381" s="1"/>
      <c r="E381" s="1"/>
      <c r="F381" s="1"/>
      <c r="G381" s="9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00"/>
      <c r="C382" s="22"/>
      <c r="D382" s="1"/>
      <c r="E382" s="1"/>
      <c r="F382" s="1"/>
      <c r="G382" s="9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00"/>
      <c r="C383" s="22"/>
      <c r="D383" s="1"/>
      <c r="E383" s="1"/>
      <c r="F383" s="1"/>
      <c r="G383" s="9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00"/>
      <c r="C384" s="22"/>
      <c r="D384" s="1"/>
      <c r="E384" s="1"/>
      <c r="F384" s="1"/>
      <c r="G384" s="9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00"/>
      <c r="C385" s="22"/>
      <c r="D385" s="1"/>
      <c r="E385" s="1"/>
      <c r="F385" s="1"/>
      <c r="G385" s="9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00"/>
      <c r="C386" s="22"/>
      <c r="D386" s="1"/>
      <c r="E386" s="1"/>
      <c r="F386" s="1"/>
      <c r="G386" s="9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00"/>
      <c r="C387" s="22"/>
      <c r="D387" s="1"/>
      <c r="E387" s="1"/>
      <c r="F387" s="1"/>
      <c r="G387" s="9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00"/>
      <c r="C388" s="22"/>
      <c r="D388" s="1"/>
      <c r="E388" s="1"/>
      <c r="F388" s="1"/>
      <c r="G388" s="9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00"/>
      <c r="C389" s="22"/>
      <c r="D389" s="1"/>
      <c r="E389" s="1"/>
      <c r="F389" s="1"/>
      <c r="G389" s="9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00"/>
      <c r="C390" s="22"/>
      <c r="D390" s="1"/>
      <c r="E390" s="1"/>
      <c r="F390" s="1"/>
      <c r="G390" s="9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00"/>
      <c r="C391" s="22"/>
      <c r="D391" s="1"/>
      <c r="E391" s="1"/>
      <c r="F391" s="1"/>
      <c r="G391" s="9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00"/>
      <c r="C392" s="22"/>
      <c r="D392" s="1"/>
      <c r="E392" s="1"/>
      <c r="F392" s="1"/>
      <c r="G392" s="9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00"/>
      <c r="C393" s="22"/>
      <c r="D393" s="1"/>
      <c r="E393" s="1"/>
      <c r="F393" s="1"/>
      <c r="G393" s="9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00"/>
      <c r="C394" s="22"/>
      <c r="D394" s="1"/>
      <c r="E394" s="1"/>
      <c r="F394" s="1"/>
      <c r="G394" s="9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00"/>
      <c r="C395" s="22"/>
      <c r="D395" s="1"/>
      <c r="E395" s="1"/>
      <c r="F395" s="1"/>
      <c r="G395" s="9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00"/>
      <c r="C396" s="22"/>
      <c r="D396" s="1"/>
      <c r="E396" s="1"/>
      <c r="F396" s="1"/>
      <c r="G396" s="9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00"/>
      <c r="C397" s="22"/>
      <c r="D397" s="1"/>
      <c r="E397" s="1"/>
      <c r="F397" s="1"/>
      <c r="G397" s="9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00"/>
      <c r="C398" s="22"/>
      <c r="D398" s="1"/>
      <c r="E398" s="1"/>
      <c r="F398" s="1"/>
      <c r="G398" s="9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00"/>
      <c r="C399" s="22"/>
      <c r="D399" s="1"/>
      <c r="E399" s="1"/>
      <c r="F399" s="1"/>
      <c r="G399" s="9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00"/>
      <c r="C400" s="22"/>
      <c r="D400" s="1"/>
      <c r="E400" s="1"/>
      <c r="F400" s="1"/>
      <c r="G400" s="9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00"/>
      <c r="C401" s="22"/>
      <c r="D401" s="1"/>
      <c r="E401" s="1"/>
      <c r="F401" s="1"/>
      <c r="G401" s="9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00"/>
      <c r="C402" s="22"/>
      <c r="D402" s="1"/>
      <c r="E402" s="1"/>
      <c r="F402" s="1"/>
      <c r="G402" s="9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00"/>
      <c r="C403" s="22"/>
      <c r="D403" s="1"/>
      <c r="E403" s="1"/>
      <c r="F403" s="1"/>
      <c r="G403" s="9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00"/>
      <c r="C404" s="22"/>
      <c r="D404" s="1"/>
      <c r="E404" s="1"/>
      <c r="F404" s="1"/>
      <c r="G404" s="9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00"/>
      <c r="C405" s="22"/>
      <c r="D405" s="1"/>
      <c r="E405" s="1"/>
      <c r="F405" s="1"/>
      <c r="G405" s="9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00"/>
      <c r="C406" s="22"/>
      <c r="D406" s="1"/>
      <c r="E406" s="1"/>
      <c r="F406" s="1"/>
      <c r="G406" s="9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00"/>
      <c r="C407" s="22"/>
      <c r="D407" s="1"/>
      <c r="E407" s="1"/>
      <c r="F407" s="1"/>
      <c r="G407" s="9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00"/>
      <c r="C408" s="22"/>
      <c r="D408" s="1"/>
      <c r="E408" s="1"/>
      <c r="F408" s="1"/>
      <c r="G408" s="9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00"/>
      <c r="C409" s="22"/>
      <c r="D409" s="1"/>
      <c r="E409" s="1"/>
      <c r="F409" s="1"/>
      <c r="G409" s="9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00"/>
      <c r="C410" s="22"/>
      <c r="D410" s="1"/>
      <c r="E410" s="1"/>
      <c r="F410" s="1"/>
      <c r="G410" s="9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00"/>
      <c r="C411" s="22"/>
      <c r="D411" s="1"/>
      <c r="E411" s="1"/>
      <c r="F411" s="1"/>
      <c r="G411" s="9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00"/>
      <c r="C412" s="22"/>
      <c r="D412" s="1"/>
      <c r="E412" s="1"/>
      <c r="F412" s="1"/>
      <c r="G412" s="9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00"/>
      <c r="C413" s="22"/>
      <c r="D413" s="1"/>
      <c r="E413" s="1"/>
      <c r="F413" s="1"/>
      <c r="G413" s="9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00"/>
      <c r="C414" s="22"/>
      <c r="D414" s="1"/>
      <c r="E414" s="1"/>
      <c r="F414" s="1"/>
      <c r="G414" s="9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00"/>
      <c r="C415" s="22"/>
      <c r="D415" s="1"/>
      <c r="E415" s="1"/>
      <c r="F415" s="1"/>
      <c r="G415" s="9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00"/>
      <c r="C416" s="22"/>
      <c r="D416" s="1"/>
      <c r="E416" s="1"/>
      <c r="F416" s="1"/>
      <c r="G416" s="9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00"/>
      <c r="C417" s="22"/>
      <c r="D417" s="1"/>
      <c r="E417" s="1"/>
      <c r="F417" s="1"/>
      <c r="G417" s="9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00"/>
      <c r="C418" s="22"/>
      <c r="D418" s="1"/>
      <c r="E418" s="1"/>
      <c r="F418" s="1"/>
      <c r="G418" s="9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00"/>
      <c r="C419" s="22"/>
      <c r="D419" s="1"/>
      <c r="E419" s="1"/>
      <c r="F419" s="1"/>
      <c r="G419" s="9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00"/>
      <c r="C420" s="22"/>
      <c r="D420" s="1"/>
      <c r="E420" s="1"/>
      <c r="F420" s="1"/>
      <c r="G420" s="9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00"/>
      <c r="C421" s="22"/>
      <c r="D421" s="1"/>
      <c r="E421" s="1"/>
      <c r="F421" s="1"/>
      <c r="G421" s="9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00"/>
      <c r="C422" s="22"/>
      <c r="D422" s="1"/>
      <c r="E422" s="1"/>
      <c r="F422" s="1"/>
      <c r="G422" s="9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00"/>
      <c r="C423" s="22"/>
      <c r="D423" s="1"/>
      <c r="E423" s="1"/>
      <c r="F423" s="1"/>
      <c r="G423" s="9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00"/>
      <c r="C424" s="22"/>
      <c r="D424" s="1"/>
      <c r="E424" s="1"/>
      <c r="F424" s="1"/>
      <c r="G424" s="9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00"/>
      <c r="C425" s="22"/>
      <c r="D425" s="1"/>
      <c r="E425" s="1"/>
      <c r="F425" s="1"/>
      <c r="G425" s="9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00"/>
      <c r="C426" s="22"/>
      <c r="D426" s="1"/>
      <c r="E426" s="1"/>
      <c r="F426" s="1"/>
      <c r="G426" s="9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00"/>
      <c r="C427" s="22"/>
      <c r="D427" s="1"/>
      <c r="E427" s="1"/>
      <c r="F427" s="1"/>
      <c r="G427" s="9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00"/>
      <c r="C428" s="22"/>
      <c r="D428" s="1"/>
      <c r="E428" s="1"/>
      <c r="F428" s="1"/>
      <c r="G428" s="9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00"/>
      <c r="C429" s="22"/>
      <c r="D429" s="1"/>
      <c r="E429" s="1"/>
      <c r="F429" s="1"/>
      <c r="G429" s="9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00"/>
      <c r="C430" s="22"/>
      <c r="D430" s="1"/>
      <c r="E430" s="1"/>
      <c r="F430" s="1"/>
      <c r="G430" s="9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00"/>
      <c r="C431" s="22"/>
      <c r="D431" s="1"/>
      <c r="E431" s="1"/>
      <c r="F431" s="1"/>
      <c r="G431" s="9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00"/>
      <c r="C432" s="22"/>
      <c r="D432" s="1"/>
      <c r="E432" s="1"/>
      <c r="F432" s="1"/>
      <c r="G432" s="9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00"/>
      <c r="C433" s="22"/>
      <c r="D433" s="1"/>
      <c r="E433" s="1"/>
      <c r="F433" s="1"/>
      <c r="G433" s="9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00"/>
      <c r="C434" s="22"/>
      <c r="D434" s="1"/>
      <c r="E434" s="1"/>
      <c r="F434" s="1"/>
      <c r="G434" s="9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00"/>
      <c r="C435" s="22"/>
      <c r="D435" s="1"/>
      <c r="E435" s="1"/>
      <c r="F435" s="1"/>
      <c r="G435" s="9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00"/>
      <c r="C436" s="22"/>
      <c r="D436" s="1"/>
      <c r="E436" s="1"/>
      <c r="F436" s="1"/>
      <c r="G436" s="9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00"/>
      <c r="C437" s="22"/>
      <c r="D437" s="1"/>
      <c r="E437" s="1"/>
      <c r="F437" s="1"/>
      <c r="G437" s="9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00"/>
      <c r="C438" s="22"/>
      <c r="D438" s="1"/>
      <c r="E438" s="1"/>
      <c r="F438" s="1"/>
      <c r="G438" s="9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00"/>
      <c r="C439" s="22"/>
      <c r="D439" s="1"/>
      <c r="E439" s="1"/>
      <c r="F439" s="1"/>
      <c r="G439" s="9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00"/>
      <c r="C440" s="22"/>
      <c r="D440" s="1"/>
      <c r="E440" s="1"/>
      <c r="F440" s="1"/>
      <c r="G440" s="9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00"/>
      <c r="C441" s="22"/>
      <c r="D441" s="1"/>
      <c r="E441" s="1"/>
      <c r="F441" s="1"/>
      <c r="G441" s="9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00"/>
      <c r="C442" s="22"/>
      <c r="D442" s="1"/>
      <c r="E442" s="1"/>
      <c r="F442" s="1"/>
      <c r="G442" s="9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00"/>
      <c r="C443" s="22"/>
      <c r="D443" s="1"/>
      <c r="E443" s="1"/>
      <c r="F443" s="1"/>
      <c r="G443" s="9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00"/>
      <c r="C444" s="22"/>
      <c r="D444" s="1"/>
      <c r="E444" s="1"/>
      <c r="F444" s="1"/>
      <c r="G444" s="9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00"/>
      <c r="C445" s="22"/>
      <c r="D445" s="1"/>
      <c r="E445" s="1"/>
      <c r="F445" s="1"/>
      <c r="G445" s="9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00"/>
      <c r="C446" s="22"/>
      <c r="D446" s="1"/>
      <c r="E446" s="1"/>
      <c r="F446" s="1"/>
      <c r="G446" s="9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00"/>
      <c r="C447" s="22"/>
      <c r="D447" s="1"/>
      <c r="E447" s="1"/>
      <c r="F447" s="1"/>
      <c r="G447" s="9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00"/>
      <c r="C448" s="22"/>
      <c r="D448" s="1"/>
      <c r="E448" s="1"/>
      <c r="F448" s="1"/>
      <c r="G448" s="9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00"/>
      <c r="C449" s="22"/>
      <c r="D449" s="1"/>
      <c r="E449" s="1"/>
      <c r="F449" s="1"/>
      <c r="G449" s="9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00"/>
      <c r="C450" s="22"/>
      <c r="D450" s="1"/>
      <c r="E450" s="1"/>
      <c r="F450" s="1"/>
      <c r="G450" s="9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00"/>
      <c r="C451" s="22"/>
      <c r="D451" s="1"/>
      <c r="E451" s="1"/>
      <c r="F451" s="1"/>
      <c r="G451" s="9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00"/>
      <c r="C452" s="22"/>
      <c r="D452" s="1"/>
      <c r="E452" s="1"/>
      <c r="F452" s="1"/>
      <c r="G452" s="9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00"/>
      <c r="C453" s="22"/>
      <c r="D453" s="1"/>
      <c r="E453" s="1"/>
      <c r="F453" s="1"/>
      <c r="G453" s="9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00"/>
      <c r="C454" s="22"/>
      <c r="D454" s="1"/>
      <c r="E454" s="1"/>
      <c r="F454" s="1"/>
      <c r="G454" s="9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00"/>
      <c r="C455" s="22"/>
      <c r="D455" s="1"/>
      <c r="E455" s="1"/>
      <c r="F455" s="1"/>
      <c r="G455" s="9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00"/>
      <c r="C456" s="22"/>
      <c r="D456" s="1"/>
      <c r="E456" s="1"/>
      <c r="F456" s="1"/>
      <c r="G456" s="9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00"/>
      <c r="C457" s="22"/>
      <c r="D457" s="1"/>
      <c r="E457" s="1"/>
      <c r="F457" s="1"/>
      <c r="G457" s="9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00"/>
      <c r="C458" s="22"/>
      <c r="D458" s="1"/>
      <c r="E458" s="1"/>
      <c r="F458" s="1"/>
      <c r="G458" s="9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00"/>
      <c r="C459" s="22"/>
      <c r="D459" s="1"/>
      <c r="E459" s="1"/>
      <c r="F459" s="1"/>
      <c r="G459" s="9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00"/>
      <c r="C460" s="22"/>
      <c r="D460" s="1"/>
      <c r="E460" s="1"/>
      <c r="F460" s="1"/>
      <c r="G460" s="9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00"/>
      <c r="C461" s="22"/>
      <c r="D461" s="1"/>
      <c r="E461" s="1"/>
      <c r="F461" s="1"/>
      <c r="G461" s="9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00"/>
      <c r="C462" s="22"/>
      <c r="D462" s="1"/>
      <c r="E462" s="1"/>
      <c r="F462" s="1"/>
      <c r="G462" s="9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00"/>
      <c r="C463" s="22"/>
      <c r="D463" s="1"/>
      <c r="E463" s="1"/>
      <c r="F463" s="1"/>
      <c r="G463" s="9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00"/>
      <c r="C464" s="22"/>
      <c r="D464" s="1"/>
      <c r="E464" s="1"/>
      <c r="F464" s="1"/>
      <c r="G464" s="9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00"/>
      <c r="C465" s="22"/>
      <c r="D465" s="1"/>
      <c r="E465" s="1"/>
      <c r="F465" s="1"/>
      <c r="G465" s="9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00"/>
      <c r="C466" s="22"/>
      <c r="D466" s="1"/>
      <c r="E466" s="1"/>
      <c r="F466" s="1"/>
      <c r="G466" s="9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00"/>
      <c r="C467" s="22"/>
      <c r="D467" s="1"/>
      <c r="E467" s="1"/>
      <c r="F467" s="1"/>
      <c r="G467" s="9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00"/>
      <c r="C468" s="22"/>
      <c r="D468" s="1"/>
      <c r="E468" s="1"/>
      <c r="F468" s="1"/>
      <c r="G468" s="9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00"/>
      <c r="C469" s="22"/>
      <c r="D469" s="1"/>
      <c r="E469" s="1"/>
      <c r="F469" s="1"/>
      <c r="G469" s="9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00"/>
      <c r="C470" s="22"/>
      <c r="D470" s="1"/>
      <c r="E470" s="1"/>
      <c r="F470" s="1"/>
      <c r="G470" s="9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00"/>
      <c r="C471" s="22"/>
      <c r="D471" s="1"/>
      <c r="E471" s="1"/>
      <c r="F471" s="1"/>
      <c r="G471" s="9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00"/>
      <c r="C472" s="22"/>
      <c r="D472" s="1"/>
      <c r="E472" s="1"/>
      <c r="F472" s="1"/>
      <c r="G472" s="9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00"/>
      <c r="C473" s="22"/>
      <c r="D473" s="1"/>
      <c r="E473" s="1"/>
      <c r="F473" s="1"/>
      <c r="G473" s="9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00"/>
      <c r="C474" s="22"/>
      <c r="D474" s="1"/>
      <c r="E474" s="1"/>
      <c r="F474" s="1"/>
      <c r="G474" s="9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00"/>
      <c r="C475" s="22"/>
      <c r="D475" s="1"/>
      <c r="E475" s="1"/>
      <c r="F475" s="1"/>
      <c r="G475" s="9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00"/>
      <c r="C476" s="22"/>
      <c r="D476" s="1"/>
      <c r="E476" s="1"/>
      <c r="F476" s="1"/>
      <c r="G476" s="9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00"/>
      <c r="C477" s="22"/>
      <c r="D477" s="1"/>
      <c r="E477" s="1"/>
      <c r="F477" s="1"/>
      <c r="G477" s="9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00"/>
      <c r="C478" s="22"/>
      <c r="D478" s="1"/>
      <c r="E478" s="1"/>
      <c r="F478" s="1"/>
      <c r="G478" s="9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00"/>
      <c r="C479" s="22"/>
      <c r="D479" s="1"/>
      <c r="E479" s="1"/>
      <c r="F479" s="1"/>
      <c r="G479" s="9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00"/>
      <c r="C480" s="22"/>
      <c r="D480" s="1"/>
      <c r="E480" s="1"/>
      <c r="F480" s="1"/>
      <c r="G480" s="9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00"/>
      <c r="C481" s="22"/>
      <c r="D481" s="1"/>
      <c r="E481" s="1"/>
      <c r="F481" s="1"/>
      <c r="G481" s="9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00"/>
      <c r="C482" s="22"/>
      <c r="D482" s="1"/>
      <c r="E482" s="1"/>
      <c r="F482" s="1"/>
      <c r="G482" s="9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00"/>
      <c r="C483" s="22"/>
      <c r="D483" s="1"/>
      <c r="E483" s="1"/>
      <c r="F483" s="1"/>
      <c r="G483" s="9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00"/>
      <c r="C484" s="22"/>
      <c r="D484" s="1"/>
      <c r="E484" s="1"/>
      <c r="F484" s="1"/>
      <c r="G484" s="9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00"/>
      <c r="C485" s="22"/>
      <c r="D485" s="1"/>
      <c r="E485" s="1"/>
      <c r="F485" s="1"/>
      <c r="G485" s="9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00"/>
      <c r="C486" s="22"/>
      <c r="D486" s="1"/>
      <c r="E486" s="1"/>
      <c r="F486" s="1"/>
      <c r="G486" s="9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00"/>
      <c r="C487" s="22"/>
      <c r="D487" s="1"/>
      <c r="E487" s="1"/>
      <c r="F487" s="1"/>
      <c r="G487" s="9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00"/>
      <c r="C488" s="22"/>
      <c r="D488" s="1"/>
      <c r="E488" s="1"/>
      <c r="F488" s="1"/>
      <c r="G488" s="9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00"/>
      <c r="C489" s="22"/>
      <c r="D489" s="1"/>
      <c r="E489" s="1"/>
      <c r="F489" s="1"/>
      <c r="G489" s="9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00"/>
      <c r="C490" s="22"/>
      <c r="D490" s="1"/>
      <c r="E490" s="1"/>
      <c r="F490" s="1"/>
      <c r="G490" s="9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00"/>
      <c r="C491" s="22"/>
      <c r="D491" s="1"/>
      <c r="E491" s="1"/>
      <c r="F491" s="1"/>
      <c r="G491" s="9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00"/>
      <c r="C492" s="22"/>
      <c r="D492" s="1"/>
      <c r="E492" s="1"/>
      <c r="F492" s="1"/>
      <c r="G492" s="9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00"/>
      <c r="C493" s="22"/>
      <c r="D493" s="1"/>
      <c r="E493" s="1"/>
      <c r="F493" s="1"/>
      <c r="G493" s="9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00"/>
      <c r="C494" s="22"/>
      <c r="D494" s="1"/>
      <c r="E494" s="1"/>
      <c r="F494" s="1"/>
      <c r="G494" s="9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00"/>
      <c r="C495" s="22"/>
      <c r="D495" s="1"/>
      <c r="E495" s="1"/>
      <c r="F495" s="1"/>
      <c r="G495" s="9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00"/>
      <c r="C496" s="22"/>
      <c r="D496" s="1"/>
      <c r="E496" s="1"/>
      <c r="F496" s="1"/>
      <c r="G496" s="9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00"/>
      <c r="C497" s="22"/>
      <c r="D497" s="1"/>
      <c r="E497" s="1"/>
      <c r="F497" s="1"/>
      <c r="G497" s="9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00"/>
      <c r="C498" s="22"/>
      <c r="D498" s="1"/>
      <c r="E498" s="1"/>
      <c r="F498" s="1"/>
      <c r="G498" s="9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00"/>
      <c r="C499" s="22"/>
      <c r="D499" s="1"/>
      <c r="E499" s="1"/>
      <c r="F499" s="1"/>
      <c r="G499" s="9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00"/>
      <c r="C500" s="22"/>
      <c r="D500" s="1"/>
      <c r="E500" s="1"/>
      <c r="F500" s="1"/>
      <c r="G500" s="9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00"/>
      <c r="C501" s="22"/>
      <c r="D501" s="1"/>
      <c r="E501" s="1"/>
      <c r="F501" s="1"/>
      <c r="G501" s="98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00"/>
      <c r="C502" s="22"/>
      <c r="D502" s="1"/>
      <c r="E502" s="1"/>
      <c r="F502" s="1"/>
      <c r="G502" s="98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00"/>
      <c r="C503" s="22"/>
      <c r="D503" s="1"/>
      <c r="E503" s="1"/>
      <c r="F503" s="1"/>
      <c r="G503" s="98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00"/>
      <c r="C504" s="22"/>
      <c r="D504" s="1"/>
      <c r="E504" s="1"/>
      <c r="F504" s="1"/>
      <c r="G504" s="98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00"/>
      <c r="C505" s="22"/>
      <c r="D505" s="1"/>
      <c r="E505" s="1"/>
      <c r="F505" s="1"/>
      <c r="G505" s="98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00"/>
      <c r="C506" s="22"/>
      <c r="D506" s="1"/>
      <c r="E506" s="1"/>
      <c r="F506" s="1"/>
      <c r="G506" s="98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00"/>
      <c r="C507" s="22"/>
      <c r="D507" s="1"/>
      <c r="E507" s="1"/>
      <c r="F507" s="1"/>
      <c r="G507" s="98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00"/>
      <c r="C508" s="22"/>
      <c r="D508" s="1"/>
      <c r="E508" s="1"/>
      <c r="F508" s="1"/>
      <c r="G508" s="98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00"/>
      <c r="C509" s="22"/>
      <c r="D509" s="1"/>
      <c r="E509" s="1"/>
      <c r="F509" s="1"/>
      <c r="G509" s="98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00"/>
      <c r="C510" s="22"/>
      <c r="D510" s="1"/>
      <c r="E510" s="1"/>
      <c r="F510" s="1"/>
      <c r="G510" s="98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00"/>
      <c r="C511" s="22"/>
      <c r="D511" s="1"/>
      <c r="E511" s="1"/>
      <c r="F511" s="1"/>
      <c r="G511" s="98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00"/>
      <c r="C512" s="22"/>
      <c r="D512" s="1"/>
      <c r="E512" s="1"/>
      <c r="F512" s="1"/>
      <c r="G512" s="98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00"/>
      <c r="C513" s="22"/>
      <c r="D513" s="1"/>
      <c r="E513" s="1"/>
      <c r="F513" s="1"/>
      <c r="G513" s="98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00"/>
      <c r="C514" s="22"/>
      <c r="D514" s="1"/>
      <c r="E514" s="1"/>
      <c r="F514" s="1"/>
      <c r="G514" s="98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00"/>
      <c r="C515" s="22"/>
      <c r="D515" s="1"/>
      <c r="E515" s="1"/>
      <c r="F515" s="1"/>
      <c r="G515" s="98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00"/>
      <c r="C516" s="22"/>
      <c r="D516" s="1"/>
      <c r="E516" s="1"/>
      <c r="F516" s="1"/>
      <c r="G516" s="98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00"/>
      <c r="C517" s="22"/>
      <c r="D517" s="1"/>
      <c r="E517" s="1"/>
      <c r="F517" s="1"/>
      <c r="G517" s="98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00"/>
      <c r="C518" s="22"/>
      <c r="D518" s="1"/>
      <c r="E518" s="1"/>
      <c r="F518" s="1"/>
      <c r="G518" s="98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00"/>
      <c r="C519" s="22"/>
      <c r="D519" s="1"/>
      <c r="E519" s="1"/>
      <c r="F519" s="1"/>
      <c r="G519" s="98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00"/>
      <c r="C520" s="22"/>
      <c r="D520" s="1"/>
      <c r="E520" s="1"/>
      <c r="F520" s="1"/>
      <c r="G520" s="98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00"/>
      <c r="C521" s="22"/>
      <c r="D521" s="1"/>
      <c r="E521" s="1"/>
      <c r="F521" s="1"/>
      <c r="G521" s="98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00"/>
      <c r="C522" s="22"/>
      <c r="D522" s="1"/>
      <c r="E522" s="1"/>
      <c r="F522" s="1"/>
      <c r="G522" s="98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00"/>
      <c r="C523" s="22"/>
      <c r="D523" s="1"/>
      <c r="E523" s="1"/>
      <c r="F523" s="1"/>
      <c r="G523" s="98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00"/>
      <c r="C524" s="22"/>
      <c r="D524" s="1"/>
      <c r="E524" s="1"/>
      <c r="F524" s="1"/>
      <c r="G524" s="98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00"/>
      <c r="C525" s="22"/>
      <c r="D525" s="1"/>
      <c r="E525" s="1"/>
      <c r="F525" s="1"/>
      <c r="G525" s="98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00"/>
      <c r="C526" s="22"/>
      <c r="D526" s="1"/>
      <c r="E526" s="1"/>
      <c r="F526" s="1"/>
      <c r="G526" s="98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00"/>
      <c r="C527" s="22"/>
      <c r="D527" s="1"/>
      <c r="E527" s="1"/>
      <c r="F527" s="1"/>
      <c r="G527" s="98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00"/>
      <c r="C528" s="22"/>
      <c r="D528" s="1"/>
      <c r="E528" s="1"/>
      <c r="F528" s="1"/>
      <c r="G528" s="98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00"/>
      <c r="C529" s="22"/>
      <c r="D529" s="1"/>
      <c r="E529" s="1"/>
      <c r="F529" s="1"/>
      <c r="G529" s="98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00"/>
      <c r="C530" s="22"/>
      <c r="D530" s="1"/>
      <c r="E530" s="1"/>
      <c r="F530" s="1"/>
      <c r="G530" s="98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00"/>
      <c r="C531" s="22"/>
      <c r="D531" s="1"/>
      <c r="E531" s="1"/>
      <c r="F531" s="1"/>
      <c r="G531" s="98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00"/>
      <c r="C532" s="22"/>
      <c r="D532" s="1"/>
      <c r="E532" s="1"/>
      <c r="F532" s="1"/>
      <c r="G532" s="98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00"/>
      <c r="C533" s="22"/>
      <c r="D533" s="1"/>
      <c r="E533" s="1"/>
      <c r="F533" s="1"/>
      <c r="G533" s="98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00"/>
      <c r="C534" s="22"/>
      <c r="D534" s="1"/>
      <c r="E534" s="1"/>
      <c r="F534" s="1"/>
      <c r="G534" s="98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00"/>
      <c r="C535" s="22"/>
      <c r="D535" s="1"/>
      <c r="E535" s="1"/>
      <c r="F535" s="1"/>
      <c r="G535" s="98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00"/>
      <c r="C536" s="22"/>
      <c r="D536" s="1"/>
      <c r="E536" s="1"/>
      <c r="F536" s="1"/>
      <c r="G536" s="98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00"/>
      <c r="C537" s="22"/>
      <c r="D537" s="1"/>
      <c r="E537" s="1"/>
      <c r="F537" s="1"/>
      <c r="G537" s="98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00"/>
      <c r="C538" s="22"/>
      <c r="D538" s="1"/>
      <c r="E538" s="1"/>
      <c r="F538" s="1"/>
      <c r="G538" s="98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00"/>
      <c r="C539" s="22"/>
      <c r="D539" s="1"/>
      <c r="E539" s="1"/>
      <c r="F539" s="1"/>
      <c r="G539" s="98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00"/>
      <c r="C540" s="22"/>
      <c r="D540" s="1"/>
      <c r="E540" s="1"/>
      <c r="F540" s="1"/>
      <c r="G540" s="98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00"/>
      <c r="C541" s="22"/>
      <c r="D541" s="1"/>
      <c r="E541" s="1"/>
      <c r="F541" s="1"/>
      <c r="G541" s="98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00"/>
      <c r="C542" s="22"/>
      <c r="D542" s="1"/>
      <c r="E542" s="1"/>
      <c r="F542" s="1"/>
      <c r="G542" s="98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00"/>
      <c r="C543" s="22"/>
      <c r="D543" s="1"/>
      <c r="E543" s="1"/>
      <c r="F543" s="1"/>
      <c r="G543" s="98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00"/>
      <c r="C544" s="22"/>
      <c r="D544" s="1"/>
      <c r="E544" s="1"/>
      <c r="F544" s="1"/>
      <c r="G544" s="98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00"/>
      <c r="C545" s="22"/>
      <c r="D545" s="1"/>
      <c r="E545" s="1"/>
      <c r="F545" s="1"/>
      <c r="G545" s="98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00"/>
      <c r="C546" s="22"/>
      <c r="D546" s="1"/>
      <c r="E546" s="1"/>
      <c r="F546" s="1"/>
      <c r="G546" s="98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00"/>
      <c r="C547" s="22"/>
      <c r="D547" s="1"/>
      <c r="E547" s="1"/>
      <c r="F547" s="1"/>
      <c r="G547" s="98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00"/>
      <c r="C548" s="22"/>
      <c r="D548" s="1"/>
      <c r="E548" s="1"/>
      <c r="F548" s="1"/>
      <c r="G548" s="98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00"/>
      <c r="C549" s="22"/>
      <c r="D549" s="1"/>
      <c r="E549" s="1"/>
      <c r="F549" s="1"/>
      <c r="G549" s="98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00"/>
      <c r="C550" s="22"/>
      <c r="D550" s="1"/>
      <c r="E550" s="1"/>
      <c r="F550" s="1"/>
      <c r="G550" s="98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00"/>
      <c r="C551" s="22"/>
      <c r="D551" s="1"/>
      <c r="E551" s="1"/>
      <c r="F551" s="1"/>
      <c r="G551" s="98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00"/>
      <c r="C552" s="22"/>
      <c r="D552" s="1"/>
      <c r="E552" s="1"/>
      <c r="F552" s="1"/>
      <c r="G552" s="98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00"/>
      <c r="C553" s="22"/>
      <c r="D553" s="1"/>
      <c r="E553" s="1"/>
      <c r="F553" s="1"/>
      <c r="G553" s="98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00"/>
      <c r="C554" s="22"/>
      <c r="D554" s="1"/>
      <c r="E554" s="1"/>
      <c r="F554" s="1"/>
      <c r="G554" s="98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00"/>
      <c r="C555" s="22"/>
      <c r="D555" s="1"/>
      <c r="E555" s="1"/>
      <c r="F555" s="1"/>
      <c r="G555" s="98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00"/>
      <c r="C556" s="22"/>
      <c r="D556" s="1"/>
      <c r="E556" s="1"/>
      <c r="F556" s="1"/>
      <c r="G556" s="98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00"/>
      <c r="C557" s="22"/>
      <c r="D557" s="1"/>
      <c r="E557" s="1"/>
      <c r="F557" s="1"/>
      <c r="G557" s="98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00"/>
      <c r="C558" s="22"/>
      <c r="D558" s="1"/>
      <c r="E558" s="1"/>
      <c r="F558" s="1"/>
      <c r="G558" s="98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00"/>
      <c r="C559" s="22"/>
      <c r="D559" s="1"/>
      <c r="E559" s="1"/>
      <c r="F559" s="1"/>
      <c r="G559" s="98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00"/>
      <c r="C560" s="22"/>
      <c r="D560" s="1"/>
      <c r="E560" s="1"/>
      <c r="F560" s="1"/>
      <c r="G560" s="98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00"/>
      <c r="C561" s="22"/>
      <c r="D561" s="1"/>
      <c r="E561" s="1"/>
      <c r="F561" s="1"/>
      <c r="G561" s="98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00"/>
      <c r="C562" s="22"/>
      <c r="D562" s="1"/>
      <c r="E562" s="1"/>
      <c r="F562" s="1"/>
      <c r="G562" s="98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00"/>
      <c r="C563" s="22"/>
      <c r="D563" s="1"/>
      <c r="E563" s="1"/>
      <c r="F563" s="1"/>
      <c r="G563" s="98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00"/>
      <c r="C564" s="22"/>
      <c r="D564" s="1"/>
      <c r="E564" s="1"/>
      <c r="F564" s="1"/>
      <c r="G564" s="98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00"/>
      <c r="C565" s="22"/>
      <c r="D565" s="1"/>
      <c r="E565" s="1"/>
      <c r="F565" s="1"/>
      <c r="G565" s="98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00"/>
      <c r="C566" s="22"/>
      <c r="D566" s="1"/>
      <c r="E566" s="1"/>
      <c r="F566" s="1"/>
      <c r="G566" s="98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00"/>
      <c r="C567" s="22"/>
      <c r="D567" s="1"/>
      <c r="E567" s="1"/>
      <c r="F567" s="1"/>
      <c r="G567" s="98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00"/>
      <c r="C568" s="22"/>
      <c r="D568" s="1"/>
      <c r="E568" s="1"/>
      <c r="F568" s="1"/>
      <c r="G568" s="98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00"/>
      <c r="C569" s="22"/>
      <c r="D569" s="1"/>
      <c r="E569" s="1"/>
      <c r="F569" s="1"/>
      <c r="G569" s="98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00"/>
      <c r="C570" s="22"/>
      <c r="D570" s="1"/>
      <c r="E570" s="1"/>
      <c r="F570" s="1"/>
      <c r="G570" s="98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00"/>
      <c r="C571" s="22"/>
      <c r="D571" s="1"/>
      <c r="E571" s="1"/>
      <c r="F571" s="1"/>
      <c r="G571" s="98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00"/>
      <c r="C572" s="22"/>
      <c r="D572" s="1"/>
      <c r="E572" s="1"/>
      <c r="F572" s="1"/>
      <c r="G572" s="98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00"/>
      <c r="C573" s="22"/>
      <c r="D573" s="1"/>
      <c r="E573" s="1"/>
      <c r="F573" s="1"/>
      <c r="G573" s="98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00"/>
      <c r="C574" s="22"/>
      <c r="D574" s="1"/>
      <c r="E574" s="1"/>
      <c r="F574" s="1"/>
      <c r="G574" s="98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00"/>
      <c r="C575" s="22"/>
      <c r="D575" s="1"/>
      <c r="E575" s="1"/>
      <c r="F575" s="1"/>
      <c r="G575" s="98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00"/>
      <c r="C576" s="22"/>
      <c r="D576" s="1"/>
      <c r="E576" s="1"/>
      <c r="F576" s="1"/>
      <c r="G576" s="98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00"/>
      <c r="C577" s="22"/>
      <c r="D577" s="1"/>
      <c r="E577" s="1"/>
      <c r="F577" s="1"/>
      <c r="G577" s="98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00"/>
      <c r="C578" s="22"/>
      <c r="D578" s="1"/>
      <c r="E578" s="1"/>
      <c r="F578" s="1"/>
      <c r="G578" s="98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00"/>
      <c r="C579" s="22"/>
      <c r="D579" s="1"/>
      <c r="E579" s="1"/>
      <c r="F579" s="1"/>
      <c r="G579" s="98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00"/>
      <c r="C580" s="22"/>
      <c r="D580" s="1"/>
      <c r="E580" s="1"/>
      <c r="F580" s="1"/>
      <c r="G580" s="98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00"/>
      <c r="C581" s="22"/>
      <c r="D581" s="1"/>
      <c r="E581" s="1"/>
      <c r="F581" s="1"/>
      <c r="G581" s="98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00"/>
      <c r="C582" s="22"/>
      <c r="D582" s="1"/>
      <c r="E582" s="1"/>
      <c r="F582" s="1"/>
      <c r="G582" s="98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00"/>
      <c r="C583" s="22"/>
      <c r="D583" s="1"/>
      <c r="E583" s="1"/>
      <c r="F583" s="1"/>
      <c r="G583" s="98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00"/>
      <c r="C584" s="22"/>
      <c r="D584" s="1"/>
      <c r="E584" s="1"/>
      <c r="F584" s="1"/>
      <c r="G584" s="98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00"/>
      <c r="C585" s="22"/>
      <c r="D585" s="1"/>
      <c r="E585" s="1"/>
      <c r="F585" s="1"/>
      <c r="G585" s="98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00"/>
      <c r="C586" s="22"/>
      <c r="D586" s="1"/>
      <c r="E586" s="1"/>
      <c r="F586" s="1"/>
      <c r="G586" s="98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00"/>
      <c r="C587" s="22"/>
      <c r="D587" s="1"/>
      <c r="E587" s="1"/>
      <c r="F587" s="1"/>
      <c r="G587" s="98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00"/>
      <c r="C588" s="22"/>
      <c r="D588" s="1"/>
      <c r="E588" s="1"/>
      <c r="F588" s="1"/>
      <c r="G588" s="98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00"/>
      <c r="C589" s="22"/>
      <c r="D589" s="1"/>
      <c r="E589" s="1"/>
      <c r="F589" s="1"/>
      <c r="G589" s="98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00"/>
      <c r="C590" s="22"/>
      <c r="D590" s="1"/>
      <c r="E590" s="1"/>
      <c r="F590" s="1"/>
      <c r="G590" s="98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00"/>
      <c r="C591" s="22"/>
      <c r="D591" s="1"/>
      <c r="E591" s="1"/>
      <c r="F591" s="1"/>
      <c r="G591" s="98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00"/>
      <c r="C592" s="22"/>
      <c r="D592" s="1"/>
      <c r="E592" s="1"/>
      <c r="F592" s="1"/>
      <c r="G592" s="98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00"/>
      <c r="C593" s="22"/>
      <c r="D593" s="1"/>
      <c r="E593" s="1"/>
      <c r="F593" s="1"/>
      <c r="G593" s="98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00"/>
      <c r="C594" s="22"/>
      <c r="D594" s="1"/>
      <c r="E594" s="1"/>
      <c r="F594" s="1"/>
      <c r="G594" s="98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00"/>
      <c r="C595" s="22"/>
      <c r="D595" s="1"/>
      <c r="E595" s="1"/>
      <c r="F595" s="1"/>
      <c r="G595" s="98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00"/>
      <c r="C596" s="22"/>
      <c r="D596" s="1"/>
      <c r="E596" s="1"/>
      <c r="F596" s="1"/>
      <c r="G596" s="98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00"/>
      <c r="C597" s="22"/>
      <c r="D597" s="1"/>
      <c r="E597" s="1"/>
      <c r="F597" s="1"/>
      <c r="G597" s="98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00"/>
      <c r="C598" s="22"/>
      <c r="D598" s="1"/>
      <c r="E598" s="1"/>
      <c r="F598" s="1"/>
      <c r="G598" s="98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00"/>
      <c r="C599" s="22"/>
      <c r="D599" s="1"/>
      <c r="E599" s="1"/>
      <c r="F599" s="1"/>
      <c r="G599" s="98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00"/>
      <c r="C600" s="22"/>
      <c r="D600" s="1"/>
      <c r="E600" s="1"/>
      <c r="F600" s="1"/>
      <c r="G600" s="98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00"/>
      <c r="C601" s="22"/>
      <c r="D601" s="1"/>
      <c r="E601" s="1"/>
      <c r="F601" s="1"/>
      <c r="G601" s="98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00"/>
      <c r="C602" s="22"/>
      <c r="D602" s="1"/>
      <c r="E602" s="1"/>
      <c r="F602" s="1"/>
      <c r="G602" s="98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00"/>
      <c r="C603" s="22"/>
      <c r="D603" s="1"/>
      <c r="E603" s="1"/>
      <c r="F603" s="1"/>
      <c r="G603" s="98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00"/>
      <c r="C604" s="22"/>
      <c r="D604" s="1"/>
      <c r="E604" s="1"/>
      <c r="F604" s="1"/>
      <c r="G604" s="98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00"/>
      <c r="C605" s="22"/>
      <c r="D605" s="1"/>
      <c r="E605" s="1"/>
      <c r="F605" s="1"/>
      <c r="G605" s="98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00"/>
      <c r="C606" s="22"/>
      <c r="D606" s="1"/>
      <c r="E606" s="1"/>
      <c r="F606" s="1"/>
      <c r="G606" s="98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00"/>
      <c r="C607" s="22"/>
      <c r="D607" s="1"/>
      <c r="E607" s="1"/>
      <c r="F607" s="1"/>
      <c r="G607" s="98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00"/>
      <c r="C608" s="22"/>
      <c r="D608" s="1"/>
      <c r="E608" s="1"/>
      <c r="F608" s="1"/>
      <c r="G608" s="98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00"/>
      <c r="C609" s="22"/>
      <c r="D609" s="1"/>
      <c r="E609" s="1"/>
      <c r="F609" s="1"/>
      <c r="G609" s="98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00"/>
      <c r="C610" s="22"/>
      <c r="D610" s="1"/>
      <c r="E610" s="1"/>
      <c r="F610" s="1"/>
      <c r="G610" s="98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00"/>
      <c r="C611" s="22"/>
      <c r="D611" s="1"/>
      <c r="E611" s="1"/>
      <c r="F611" s="1"/>
      <c r="G611" s="98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00"/>
      <c r="C612" s="22"/>
      <c r="D612" s="1"/>
      <c r="E612" s="1"/>
      <c r="F612" s="1"/>
      <c r="G612" s="98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00"/>
      <c r="C613" s="22"/>
      <c r="D613" s="1"/>
      <c r="E613" s="1"/>
      <c r="F613" s="1"/>
      <c r="G613" s="98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00"/>
      <c r="C614" s="22"/>
      <c r="D614" s="1"/>
      <c r="E614" s="1"/>
      <c r="F614" s="1"/>
      <c r="G614" s="98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00"/>
      <c r="C615" s="22"/>
      <c r="D615" s="1"/>
      <c r="E615" s="1"/>
      <c r="F615" s="1"/>
      <c r="G615" s="98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00"/>
      <c r="C616" s="22"/>
      <c r="D616" s="1"/>
      <c r="E616" s="1"/>
      <c r="F616" s="1"/>
      <c r="G616" s="98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00"/>
      <c r="C617" s="22"/>
      <c r="D617" s="1"/>
      <c r="E617" s="1"/>
      <c r="F617" s="1"/>
      <c r="G617" s="98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00"/>
      <c r="C618" s="22"/>
      <c r="D618" s="1"/>
      <c r="E618" s="1"/>
      <c r="F618" s="1"/>
      <c r="G618" s="98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00"/>
      <c r="C619" s="22"/>
      <c r="D619" s="1"/>
      <c r="E619" s="1"/>
      <c r="F619" s="1"/>
      <c r="G619" s="98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00"/>
      <c r="C620" s="22"/>
      <c r="D620" s="1"/>
      <c r="E620" s="1"/>
      <c r="F620" s="1"/>
      <c r="G620" s="98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00"/>
      <c r="C621" s="22"/>
      <c r="D621" s="1"/>
      <c r="E621" s="1"/>
      <c r="F621" s="1"/>
      <c r="G621" s="98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00"/>
      <c r="C622" s="22"/>
      <c r="D622" s="1"/>
      <c r="E622" s="1"/>
      <c r="F622" s="1"/>
      <c r="G622" s="98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00"/>
      <c r="C623" s="22"/>
      <c r="D623" s="1"/>
      <c r="E623" s="1"/>
      <c r="F623" s="1"/>
      <c r="G623" s="98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00"/>
      <c r="C624" s="22"/>
      <c r="D624" s="1"/>
      <c r="E624" s="1"/>
      <c r="F624" s="1"/>
      <c r="G624" s="98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00"/>
      <c r="C625" s="22"/>
      <c r="D625" s="1"/>
      <c r="E625" s="1"/>
      <c r="F625" s="1"/>
      <c r="G625" s="98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00"/>
      <c r="C626" s="22"/>
      <c r="D626" s="1"/>
      <c r="E626" s="1"/>
      <c r="F626" s="1"/>
      <c r="G626" s="98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00"/>
      <c r="C627" s="22"/>
      <c r="D627" s="1"/>
      <c r="E627" s="1"/>
      <c r="F627" s="1"/>
      <c r="G627" s="98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00"/>
      <c r="C628" s="22"/>
      <c r="D628" s="1"/>
      <c r="E628" s="1"/>
      <c r="F628" s="1"/>
      <c r="G628" s="98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00"/>
      <c r="C629" s="22"/>
      <c r="D629" s="1"/>
      <c r="E629" s="1"/>
      <c r="F629" s="1"/>
      <c r="G629" s="98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00"/>
      <c r="C630" s="22"/>
      <c r="D630" s="1"/>
      <c r="E630" s="1"/>
      <c r="F630" s="1"/>
      <c r="G630" s="98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00"/>
      <c r="C631" s="22"/>
      <c r="D631" s="1"/>
      <c r="E631" s="1"/>
      <c r="F631" s="1"/>
      <c r="G631" s="98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00"/>
      <c r="C632" s="22"/>
      <c r="D632" s="1"/>
      <c r="E632" s="1"/>
      <c r="F632" s="1"/>
      <c r="G632" s="98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00"/>
      <c r="C633" s="22"/>
      <c r="D633" s="1"/>
      <c r="E633" s="1"/>
      <c r="F633" s="1"/>
      <c r="G633" s="98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00"/>
      <c r="C634" s="22"/>
      <c r="D634" s="1"/>
      <c r="E634" s="1"/>
      <c r="F634" s="1"/>
      <c r="G634" s="98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00"/>
      <c r="C635" s="22"/>
      <c r="D635" s="1"/>
      <c r="E635" s="1"/>
      <c r="F635" s="1"/>
      <c r="G635" s="98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00"/>
      <c r="C636" s="22"/>
      <c r="D636" s="1"/>
      <c r="E636" s="1"/>
      <c r="F636" s="1"/>
      <c r="G636" s="98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00"/>
      <c r="C637" s="22"/>
      <c r="D637" s="1"/>
      <c r="E637" s="1"/>
      <c r="F637" s="1"/>
      <c r="G637" s="98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00"/>
      <c r="C638" s="22"/>
      <c r="D638" s="1"/>
      <c r="E638" s="1"/>
      <c r="F638" s="1"/>
      <c r="G638" s="98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00"/>
      <c r="C639" s="22"/>
      <c r="D639" s="1"/>
      <c r="E639" s="1"/>
      <c r="F639" s="1"/>
      <c r="G639" s="98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00"/>
      <c r="C640" s="22"/>
      <c r="D640" s="1"/>
      <c r="E640" s="1"/>
      <c r="F640" s="1"/>
      <c r="G640" s="98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00"/>
      <c r="C641" s="22"/>
      <c r="D641" s="1"/>
      <c r="E641" s="1"/>
      <c r="F641" s="1"/>
      <c r="G641" s="98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00"/>
      <c r="C642" s="22"/>
      <c r="D642" s="1"/>
      <c r="E642" s="1"/>
      <c r="F642" s="1"/>
      <c r="G642" s="98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00"/>
      <c r="C643" s="22"/>
      <c r="D643" s="1"/>
      <c r="E643" s="1"/>
      <c r="F643" s="1"/>
      <c r="G643" s="98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00"/>
      <c r="C644" s="22"/>
      <c r="D644" s="1"/>
      <c r="E644" s="1"/>
      <c r="F644" s="1"/>
      <c r="G644" s="98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00"/>
      <c r="C645" s="22"/>
      <c r="D645" s="1"/>
      <c r="E645" s="1"/>
      <c r="F645" s="1"/>
      <c r="G645" s="98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00"/>
      <c r="C646" s="22"/>
      <c r="D646" s="1"/>
      <c r="E646" s="1"/>
      <c r="F646" s="1"/>
      <c r="G646" s="98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00"/>
      <c r="C647" s="22"/>
      <c r="D647" s="1"/>
      <c r="E647" s="1"/>
      <c r="F647" s="1"/>
      <c r="G647" s="98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00"/>
      <c r="C648" s="22"/>
      <c r="D648" s="1"/>
      <c r="E648" s="1"/>
      <c r="F648" s="1"/>
      <c r="G648" s="98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00"/>
      <c r="C649" s="22"/>
      <c r="D649" s="1"/>
      <c r="E649" s="1"/>
      <c r="F649" s="1"/>
      <c r="G649" s="98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00"/>
      <c r="C650" s="22"/>
      <c r="D650" s="1"/>
      <c r="E650" s="1"/>
      <c r="F650" s="1"/>
      <c r="G650" s="98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00"/>
      <c r="C651" s="22"/>
      <c r="D651" s="1"/>
      <c r="E651" s="1"/>
      <c r="F651" s="1"/>
      <c r="G651" s="98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00"/>
      <c r="C652" s="22"/>
      <c r="D652" s="1"/>
      <c r="E652" s="1"/>
      <c r="F652" s="1"/>
      <c r="G652" s="98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00"/>
      <c r="C653" s="22"/>
      <c r="D653" s="1"/>
      <c r="E653" s="1"/>
      <c r="F653" s="1"/>
      <c r="G653" s="98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00"/>
      <c r="C654" s="22"/>
      <c r="D654" s="1"/>
      <c r="E654" s="1"/>
      <c r="F654" s="1"/>
      <c r="G654" s="98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00"/>
      <c r="C655" s="22"/>
      <c r="D655" s="1"/>
      <c r="E655" s="1"/>
      <c r="F655" s="1"/>
      <c r="G655" s="98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00"/>
      <c r="C656" s="22"/>
      <c r="D656" s="1"/>
      <c r="E656" s="1"/>
      <c r="F656" s="1"/>
      <c r="G656" s="98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00"/>
      <c r="C657" s="22"/>
      <c r="D657" s="1"/>
      <c r="E657" s="1"/>
      <c r="F657" s="1"/>
      <c r="G657" s="98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00"/>
      <c r="C658" s="22"/>
      <c r="D658" s="1"/>
      <c r="E658" s="1"/>
      <c r="F658" s="1"/>
      <c r="G658" s="98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00"/>
      <c r="C659" s="22"/>
      <c r="D659" s="1"/>
      <c r="E659" s="1"/>
      <c r="F659" s="1"/>
      <c r="G659" s="98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00"/>
      <c r="C660" s="22"/>
      <c r="D660" s="1"/>
      <c r="E660" s="1"/>
      <c r="F660" s="1"/>
      <c r="G660" s="98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00"/>
      <c r="C661" s="22"/>
      <c r="D661" s="1"/>
      <c r="E661" s="1"/>
      <c r="F661" s="1"/>
      <c r="G661" s="98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00"/>
      <c r="C662" s="22"/>
      <c r="D662" s="1"/>
      <c r="E662" s="1"/>
      <c r="F662" s="1"/>
      <c r="G662" s="98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00"/>
      <c r="C663" s="22"/>
      <c r="D663" s="1"/>
      <c r="E663" s="1"/>
      <c r="F663" s="1"/>
      <c r="G663" s="98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00"/>
      <c r="C664" s="22"/>
      <c r="D664" s="1"/>
      <c r="E664" s="1"/>
      <c r="F664" s="1"/>
      <c r="G664" s="98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00"/>
      <c r="C665" s="22"/>
      <c r="D665" s="1"/>
      <c r="E665" s="1"/>
      <c r="F665" s="1"/>
      <c r="G665" s="98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00"/>
      <c r="C666" s="22"/>
      <c r="D666" s="1"/>
      <c r="E666" s="1"/>
      <c r="F666" s="1"/>
      <c r="G666" s="98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00"/>
      <c r="C667" s="22"/>
      <c r="D667" s="1"/>
      <c r="E667" s="1"/>
      <c r="F667" s="1"/>
      <c r="G667" s="98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00"/>
      <c r="C668" s="22"/>
      <c r="D668" s="1"/>
      <c r="E668" s="1"/>
      <c r="F668" s="1"/>
      <c r="G668" s="98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00"/>
      <c r="C669" s="22"/>
      <c r="D669" s="1"/>
      <c r="E669" s="1"/>
      <c r="F669" s="1"/>
      <c r="G669" s="98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00"/>
      <c r="C670" s="22"/>
      <c r="D670" s="1"/>
      <c r="E670" s="1"/>
      <c r="F670" s="1"/>
      <c r="G670" s="98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00"/>
      <c r="C671" s="22"/>
      <c r="D671" s="1"/>
      <c r="E671" s="1"/>
      <c r="F671" s="1"/>
      <c r="G671" s="98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00"/>
      <c r="C672" s="22"/>
      <c r="D672" s="1"/>
      <c r="E672" s="1"/>
      <c r="F672" s="1"/>
      <c r="G672" s="98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00"/>
      <c r="C673" s="22"/>
      <c r="D673" s="1"/>
      <c r="E673" s="1"/>
      <c r="F673" s="1"/>
      <c r="G673" s="98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00"/>
      <c r="C674" s="22"/>
      <c r="D674" s="1"/>
      <c r="E674" s="1"/>
      <c r="F674" s="1"/>
      <c r="G674" s="98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00"/>
      <c r="C675" s="22"/>
      <c r="D675" s="1"/>
      <c r="E675" s="1"/>
      <c r="F675" s="1"/>
      <c r="G675" s="98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00"/>
      <c r="C676" s="22"/>
      <c r="D676" s="1"/>
      <c r="E676" s="1"/>
      <c r="F676" s="1"/>
      <c r="G676" s="98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00"/>
      <c r="C677" s="22"/>
      <c r="D677" s="1"/>
      <c r="E677" s="1"/>
      <c r="F677" s="1"/>
      <c r="G677" s="98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00"/>
      <c r="C678" s="22"/>
      <c r="D678" s="1"/>
      <c r="E678" s="1"/>
      <c r="F678" s="1"/>
      <c r="G678" s="98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00"/>
      <c r="C679" s="22"/>
      <c r="D679" s="1"/>
      <c r="E679" s="1"/>
      <c r="F679" s="1"/>
      <c r="G679" s="98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00"/>
      <c r="C680" s="22"/>
      <c r="D680" s="1"/>
      <c r="E680" s="1"/>
      <c r="F680" s="1"/>
      <c r="G680" s="98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00"/>
      <c r="C681" s="22"/>
      <c r="D681" s="1"/>
      <c r="E681" s="1"/>
      <c r="F681" s="1"/>
      <c r="G681" s="98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00"/>
      <c r="C682" s="22"/>
      <c r="D682" s="1"/>
      <c r="E682" s="1"/>
      <c r="F682" s="1"/>
      <c r="G682" s="98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00"/>
      <c r="C683" s="22"/>
      <c r="D683" s="1"/>
      <c r="E683" s="1"/>
      <c r="F683" s="1"/>
      <c r="G683" s="98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00"/>
      <c r="C684" s="22"/>
      <c r="D684" s="1"/>
      <c r="E684" s="1"/>
      <c r="F684" s="1"/>
      <c r="G684" s="98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00"/>
      <c r="C685" s="22"/>
      <c r="D685" s="1"/>
      <c r="E685" s="1"/>
      <c r="F685" s="1"/>
      <c r="G685" s="98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00"/>
      <c r="C686" s="22"/>
      <c r="D686" s="1"/>
      <c r="E686" s="1"/>
      <c r="F686" s="1"/>
      <c r="G686" s="98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00"/>
      <c r="C687" s="22"/>
      <c r="D687" s="1"/>
      <c r="E687" s="1"/>
      <c r="F687" s="1"/>
      <c r="G687" s="98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00"/>
      <c r="C688" s="22"/>
      <c r="D688" s="1"/>
      <c r="E688" s="1"/>
      <c r="F688" s="1"/>
      <c r="G688" s="98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00"/>
      <c r="C689" s="22"/>
      <c r="D689" s="1"/>
      <c r="E689" s="1"/>
      <c r="F689" s="1"/>
      <c r="G689" s="98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00"/>
      <c r="C690" s="22"/>
      <c r="D690" s="1"/>
      <c r="E690" s="1"/>
      <c r="F690" s="1"/>
      <c r="G690" s="98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00"/>
      <c r="C691" s="22"/>
      <c r="D691" s="1"/>
      <c r="E691" s="1"/>
      <c r="F691" s="1"/>
      <c r="G691" s="98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00"/>
      <c r="C692" s="22"/>
      <c r="D692" s="1"/>
      <c r="E692" s="1"/>
      <c r="F692" s="1"/>
      <c r="G692" s="98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00"/>
      <c r="C693" s="22"/>
      <c r="D693" s="1"/>
      <c r="E693" s="1"/>
      <c r="F693" s="1"/>
      <c r="G693" s="98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00"/>
      <c r="C694" s="22"/>
      <c r="D694" s="1"/>
      <c r="E694" s="1"/>
      <c r="F694" s="1"/>
      <c r="G694" s="98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00"/>
      <c r="C695" s="22"/>
      <c r="D695" s="1"/>
      <c r="E695" s="1"/>
      <c r="F695" s="1"/>
      <c r="G695" s="98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00"/>
      <c r="C696" s="22"/>
      <c r="D696" s="1"/>
      <c r="E696" s="1"/>
      <c r="F696" s="1"/>
      <c r="G696" s="98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00"/>
      <c r="C697" s="22"/>
      <c r="D697" s="1"/>
      <c r="E697" s="1"/>
      <c r="F697" s="1"/>
      <c r="G697" s="98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00"/>
      <c r="C698" s="22"/>
      <c r="D698" s="1"/>
      <c r="E698" s="1"/>
      <c r="F698" s="1"/>
      <c r="G698" s="98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00"/>
      <c r="C699" s="22"/>
      <c r="D699" s="1"/>
      <c r="E699" s="1"/>
      <c r="F699" s="1"/>
      <c r="G699" s="98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00"/>
      <c r="C700" s="22"/>
      <c r="D700" s="1"/>
      <c r="E700" s="1"/>
      <c r="F700" s="1"/>
      <c r="G700" s="98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00"/>
      <c r="C701" s="22"/>
      <c r="D701" s="1"/>
      <c r="E701" s="1"/>
      <c r="F701" s="1"/>
      <c r="G701" s="98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00"/>
      <c r="C702" s="22"/>
      <c r="D702" s="1"/>
      <c r="E702" s="1"/>
      <c r="F702" s="1"/>
      <c r="G702" s="98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00"/>
      <c r="C703" s="22"/>
      <c r="D703" s="1"/>
      <c r="E703" s="1"/>
      <c r="F703" s="1"/>
      <c r="G703" s="98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00"/>
      <c r="C704" s="22"/>
      <c r="D704" s="1"/>
      <c r="E704" s="1"/>
      <c r="F704" s="1"/>
      <c r="G704" s="98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00"/>
      <c r="C705" s="22"/>
      <c r="D705" s="1"/>
      <c r="E705" s="1"/>
      <c r="F705" s="1"/>
      <c r="G705" s="98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00"/>
      <c r="C706" s="22"/>
      <c r="D706" s="1"/>
      <c r="E706" s="1"/>
      <c r="F706" s="1"/>
      <c r="G706" s="98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00"/>
      <c r="C707" s="22"/>
      <c r="D707" s="1"/>
      <c r="E707" s="1"/>
      <c r="F707" s="1"/>
      <c r="G707" s="98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00"/>
      <c r="C708" s="22"/>
      <c r="D708" s="1"/>
      <c r="E708" s="1"/>
      <c r="F708" s="1"/>
      <c r="G708" s="98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00"/>
      <c r="C709" s="22"/>
      <c r="D709" s="1"/>
      <c r="E709" s="1"/>
      <c r="F709" s="1"/>
      <c r="G709" s="98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00"/>
      <c r="C710" s="22"/>
      <c r="D710" s="1"/>
      <c r="E710" s="1"/>
      <c r="F710" s="1"/>
      <c r="G710" s="98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00"/>
      <c r="C711" s="22"/>
      <c r="D711" s="1"/>
      <c r="E711" s="1"/>
      <c r="F711" s="1"/>
      <c r="G711" s="98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00"/>
      <c r="C712" s="22"/>
      <c r="D712" s="1"/>
      <c r="E712" s="1"/>
      <c r="F712" s="1"/>
      <c r="G712" s="98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00"/>
      <c r="C713" s="22"/>
      <c r="D713" s="1"/>
      <c r="E713" s="1"/>
      <c r="F713" s="1"/>
      <c r="G713" s="98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00"/>
      <c r="C714" s="22"/>
      <c r="D714" s="1"/>
      <c r="E714" s="1"/>
      <c r="F714" s="1"/>
      <c r="G714" s="98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00"/>
      <c r="C715" s="22"/>
      <c r="D715" s="1"/>
      <c r="E715" s="1"/>
      <c r="F715" s="1"/>
      <c r="G715" s="98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00"/>
      <c r="C716" s="22"/>
      <c r="D716" s="1"/>
      <c r="E716" s="1"/>
      <c r="F716" s="1"/>
      <c r="G716" s="98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00"/>
      <c r="C717" s="22"/>
      <c r="D717" s="1"/>
      <c r="E717" s="1"/>
      <c r="F717" s="1"/>
      <c r="G717" s="98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00"/>
      <c r="C718" s="22"/>
      <c r="D718" s="1"/>
      <c r="E718" s="1"/>
      <c r="F718" s="1"/>
      <c r="G718" s="98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00"/>
      <c r="C719" s="22"/>
      <c r="D719" s="1"/>
      <c r="E719" s="1"/>
      <c r="F719" s="1"/>
      <c r="G719" s="98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00"/>
      <c r="C720" s="22"/>
      <c r="D720" s="1"/>
      <c r="E720" s="1"/>
      <c r="F720" s="1"/>
      <c r="G720" s="98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00"/>
      <c r="C721" s="22"/>
      <c r="D721" s="1"/>
      <c r="E721" s="1"/>
      <c r="F721" s="1"/>
      <c r="G721" s="98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00"/>
      <c r="C722" s="22"/>
      <c r="D722" s="1"/>
      <c r="E722" s="1"/>
      <c r="F722" s="1"/>
      <c r="G722" s="98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00"/>
      <c r="C723" s="22"/>
      <c r="D723" s="1"/>
      <c r="E723" s="1"/>
      <c r="F723" s="1"/>
      <c r="G723" s="98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00"/>
      <c r="C724" s="22"/>
      <c r="D724" s="1"/>
      <c r="E724" s="1"/>
      <c r="F724" s="1"/>
      <c r="G724" s="98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00"/>
      <c r="C725" s="22"/>
      <c r="D725" s="1"/>
      <c r="E725" s="1"/>
      <c r="F725" s="1"/>
      <c r="G725" s="98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00"/>
      <c r="C726" s="22"/>
      <c r="D726" s="1"/>
      <c r="E726" s="1"/>
      <c r="F726" s="1"/>
      <c r="G726" s="98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00"/>
      <c r="C727" s="22"/>
      <c r="D727" s="1"/>
      <c r="E727" s="1"/>
      <c r="F727" s="1"/>
      <c r="G727" s="98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00"/>
      <c r="C728" s="22"/>
      <c r="D728" s="1"/>
      <c r="E728" s="1"/>
      <c r="F728" s="1"/>
      <c r="G728" s="98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00"/>
      <c r="C729" s="22"/>
      <c r="D729" s="1"/>
      <c r="E729" s="1"/>
      <c r="F729" s="1"/>
      <c r="G729" s="98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00"/>
      <c r="C730" s="22"/>
      <c r="D730" s="1"/>
      <c r="E730" s="1"/>
      <c r="F730" s="1"/>
      <c r="G730" s="98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00"/>
      <c r="C731" s="22"/>
      <c r="D731" s="1"/>
      <c r="E731" s="1"/>
      <c r="F731" s="1"/>
      <c r="G731" s="98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00"/>
      <c r="C732" s="22"/>
      <c r="D732" s="1"/>
      <c r="E732" s="1"/>
      <c r="F732" s="1"/>
      <c r="G732" s="98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00"/>
      <c r="C733" s="22"/>
      <c r="D733" s="1"/>
      <c r="E733" s="1"/>
      <c r="F733" s="1"/>
      <c r="G733" s="98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00"/>
      <c r="C734" s="22"/>
      <c r="D734" s="1"/>
      <c r="E734" s="1"/>
      <c r="F734" s="1"/>
      <c r="G734" s="98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00"/>
      <c r="C735" s="22"/>
      <c r="D735" s="1"/>
      <c r="E735" s="1"/>
      <c r="F735" s="1"/>
      <c r="G735" s="98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00"/>
      <c r="C736" s="22"/>
      <c r="D736" s="1"/>
      <c r="E736" s="1"/>
      <c r="F736" s="1"/>
      <c r="G736" s="98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00"/>
      <c r="C737" s="22"/>
      <c r="D737" s="1"/>
      <c r="E737" s="1"/>
      <c r="F737" s="1"/>
      <c r="G737" s="98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00"/>
      <c r="C738" s="22"/>
      <c r="D738" s="1"/>
      <c r="E738" s="1"/>
      <c r="F738" s="1"/>
      <c r="G738" s="98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00"/>
      <c r="C739" s="22"/>
      <c r="D739" s="1"/>
      <c r="E739" s="1"/>
      <c r="F739" s="1"/>
      <c r="G739" s="98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00"/>
      <c r="C740" s="22"/>
      <c r="D740" s="1"/>
      <c r="E740" s="1"/>
      <c r="F740" s="1"/>
      <c r="G740" s="98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00"/>
      <c r="C741" s="22"/>
      <c r="D741" s="1"/>
      <c r="E741" s="1"/>
      <c r="F741" s="1"/>
      <c r="G741" s="98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00"/>
      <c r="C742" s="22"/>
      <c r="D742" s="1"/>
      <c r="E742" s="1"/>
      <c r="F742" s="1"/>
      <c r="G742" s="98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00"/>
      <c r="C743" s="22"/>
      <c r="D743" s="1"/>
      <c r="E743" s="1"/>
      <c r="F743" s="1"/>
      <c r="G743" s="98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00"/>
      <c r="C744" s="22"/>
      <c r="D744" s="1"/>
      <c r="E744" s="1"/>
      <c r="F744" s="1"/>
      <c r="G744" s="98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00"/>
      <c r="C745" s="22"/>
      <c r="D745" s="1"/>
      <c r="E745" s="1"/>
      <c r="F745" s="1"/>
      <c r="G745" s="98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00"/>
      <c r="C746" s="22"/>
      <c r="D746" s="1"/>
      <c r="E746" s="1"/>
      <c r="F746" s="1"/>
      <c r="G746" s="98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00"/>
      <c r="C747" s="22"/>
      <c r="D747" s="1"/>
      <c r="E747" s="1"/>
      <c r="F747" s="1"/>
      <c r="G747" s="98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00"/>
      <c r="C748" s="22"/>
      <c r="D748" s="1"/>
      <c r="E748" s="1"/>
      <c r="F748" s="1"/>
      <c r="G748" s="98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00"/>
      <c r="C749" s="22"/>
      <c r="D749" s="1"/>
      <c r="E749" s="1"/>
      <c r="F749" s="1"/>
      <c r="G749" s="98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00"/>
      <c r="C750" s="22"/>
      <c r="D750" s="1"/>
      <c r="E750" s="1"/>
      <c r="F750" s="1"/>
      <c r="G750" s="98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00"/>
      <c r="C751" s="22"/>
      <c r="D751" s="1"/>
      <c r="E751" s="1"/>
      <c r="F751" s="1"/>
      <c r="G751" s="98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00"/>
      <c r="C752" s="22"/>
      <c r="D752" s="1"/>
      <c r="E752" s="1"/>
      <c r="F752" s="1"/>
      <c r="G752" s="98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00"/>
      <c r="C753" s="22"/>
      <c r="D753" s="1"/>
      <c r="E753" s="1"/>
      <c r="F753" s="1"/>
      <c r="G753" s="98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00"/>
      <c r="C754" s="22"/>
      <c r="D754" s="1"/>
      <c r="E754" s="1"/>
      <c r="F754" s="1"/>
      <c r="G754" s="98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00"/>
      <c r="C755" s="22"/>
      <c r="D755" s="1"/>
      <c r="E755" s="1"/>
      <c r="F755" s="1"/>
      <c r="G755" s="98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00"/>
      <c r="C756" s="22"/>
      <c r="D756" s="1"/>
      <c r="E756" s="1"/>
      <c r="F756" s="1"/>
      <c r="G756" s="98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00"/>
      <c r="C757" s="22"/>
      <c r="D757" s="1"/>
      <c r="E757" s="1"/>
      <c r="F757" s="1"/>
      <c r="G757" s="98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00"/>
      <c r="C758" s="22"/>
      <c r="D758" s="1"/>
      <c r="E758" s="1"/>
      <c r="F758" s="1"/>
      <c r="G758" s="98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00"/>
      <c r="C759" s="22"/>
      <c r="D759" s="1"/>
      <c r="E759" s="1"/>
      <c r="F759" s="1"/>
      <c r="G759" s="98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00"/>
      <c r="C760" s="22"/>
      <c r="D760" s="1"/>
      <c r="E760" s="1"/>
      <c r="F760" s="1"/>
      <c r="G760" s="98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00"/>
      <c r="C761" s="22"/>
      <c r="D761" s="1"/>
      <c r="E761" s="1"/>
      <c r="F761" s="1"/>
      <c r="G761" s="98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00"/>
      <c r="C762" s="22"/>
      <c r="D762" s="1"/>
      <c r="E762" s="1"/>
      <c r="F762" s="1"/>
      <c r="G762" s="98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00"/>
      <c r="C763" s="22"/>
      <c r="D763" s="1"/>
      <c r="E763" s="1"/>
      <c r="F763" s="1"/>
      <c r="G763" s="98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00"/>
      <c r="C764" s="22"/>
      <c r="D764" s="1"/>
      <c r="E764" s="1"/>
      <c r="F764" s="1"/>
      <c r="G764" s="98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00"/>
      <c r="C765" s="22"/>
      <c r="D765" s="1"/>
      <c r="E765" s="1"/>
      <c r="F765" s="1"/>
      <c r="G765" s="98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00"/>
      <c r="C766" s="22"/>
      <c r="D766" s="1"/>
      <c r="E766" s="1"/>
      <c r="F766" s="1"/>
      <c r="G766" s="98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00"/>
      <c r="C767" s="22"/>
      <c r="D767" s="1"/>
      <c r="E767" s="1"/>
      <c r="F767" s="1"/>
      <c r="G767" s="98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00"/>
      <c r="C768" s="22"/>
      <c r="D768" s="1"/>
      <c r="E768" s="1"/>
      <c r="F768" s="1"/>
      <c r="G768" s="98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00"/>
      <c r="C769" s="22"/>
      <c r="D769" s="1"/>
      <c r="E769" s="1"/>
      <c r="F769" s="1"/>
      <c r="G769" s="98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00"/>
      <c r="C770" s="22"/>
      <c r="D770" s="1"/>
      <c r="E770" s="1"/>
      <c r="F770" s="1"/>
      <c r="G770" s="98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00"/>
      <c r="C771" s="22"/>
      <c r="D771" s="1"/>
      <c r="E771" s="1"/>
      <c r="F771" s="1"/>
      <c r="G771" s="98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00"/>
      <c r="C772" s="22"/>
      <c r="D772" s="1"/>
      <c r="E772" s="1"/>
      <c r="F772" s="1"/>
      <c r="G772" s="98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00"/>
      <c r="C773" s="22"/>
      <c r="D773" s="1"/>
      <c r="E773" s="1"/>
      <c r="F773" s="1"/>
      <c r="G773" s="98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00"/>
      <c r="C774" s="22"/>
      <c r="D774" s="1"/>
      <c r="E774" s="1"/>
      <c r="F774" s="1"/>
      <c r="G774" s="98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00"/>
      <c r="C775" s="22"/>
      <c r="D775" s="1"/>
      <c r="E775" s="1"/>
      <c r="F775" s="1"/>
      <c r="G775" s="98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00"/>
      <c r="C776" s="22"/>
      <c r="D776" s="1"/>
      <c r="E776" s="1"/>
      <c r="F776" s="1"/>
      <c r="G776" s="98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00"/>
      <c r="C777" s="22"/>
      <c r="D777" s="1"/>
      <c r="E777" s="1"/>
      <c r="F777" s="1"/>
      <c r="G777" s="98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00"/>
      <c r="C778" s="22"/>
      <c r="D778" s="1"/>
      <c r="E778" s="1"/>
      <c r="F778" s="1"/>
      <c r="G778" s="98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00"/>
      <c r="C779" s="22"/>
      <c r="D779" s="1"/>
      <c r="E779" s="1"/>
      <c r="F779" s="1"/>
      <c r="G779" s="98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00"/>
      <c r="C780" s="22"/>
      <c r="D780" s="1"/>
      <c r="E780" s="1"/>
      <c r="F780" s="1"/>
      <c r="G780" s="98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00"/>
      <c r="C781" s="22"/>
      <c r="D781" s="1"/>
      <c r="E781" s="1"/>
      <c r="F781" s="1"/>
      <c r="G781" s="98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00"/>
      <c r="C782" s="22"/>
      <c r="D782" s="1"/>
      <c r="E782" s="1"/>
      <c r="F782" s="1"/>
      <c r="G782" s="98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00"/>
      <c r="C783" s="22"/>
      <c r="D783" s="1"/>
      <c r="E783" s="1"/>
      <c r="F783" s="1"/>
      <c r="G783" s="98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00"/>
      <c r="C784" s="22"/>
      <c r="D784" s="1"/>
      <c r="E784" s="1"/>
      <c r="F784" s="1"/>
      <c r="G784" s="98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00"/>
      <c r="C785" s="22"/>
      <c r="D785" s="1"/>
      <c r="E785" s="1"/>
      <c r="F785" s="1"/>
      <c r="G785" s="98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00"/>
      <c r="C786" s="22"/>
      <c r="D786" s="1"/>
      <c r="E786" s="1"/>
      <c r="F786" s="1"/>
      <c r="G786" s="98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00"/>
      <c r="C787" s="22"/>
      <c r="D787" s="1"/>
      <c r="E787" s="1"/>
      <c r="F787" s="1"/>
      <c r="G787" s="98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00"/>
      <c r="C788" s="22"/>
      <c r="D788" s="1"/>
      <c r="E788" s="1"/>
      <c r="F788" s="1"/>
      <c r="G788" s="98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00"/>
      <c r="C789" s="22"/>
      <c r="D789" s="1"/>
      <c r="E789" s="1"/>
      <c r="F789" s="1"/>
      <c r="G789" s="98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00"/>
      <c r="C790" s="22"/>
      <c r="D790" s="1"/>
      <c r="E790" s="1"/>
      <c r="F790" s="1"/>
      <c r="G790" s="98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00"/>
      <c r="C791" s="22"/>
      <c r="D791" s="1"/>
      <c r="E791" s="1"/>
      <c r="F791" s="1"/>
      <c r="G791" s="98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00"/>
      <c r="C792" s="22"/>
      <c r="D792" s="1"/>
      <c r="E792" s="1"/>
      <c r="F792" s="1"/>
      <c r="G792" s="98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00"/>
      <c r="C793" s="22"/>
      <c r="D793" s="1"/>
      <c r="E793" s="1"/>
      <c r="F793" s="1"/>
      <c r="G793" s="98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00"/>
      <c r="C794" s="22"/>
      <c r="D794" s="1"/>
      <c r="E794" s="1"/>
      <c r="F794" s="1"/>
      <c r="G794" s="98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00"/>
      <c r="C795" s="22"/>
      <c r="D795" s="1"/>
      <c r="E795" s="1"/>
      <c r="F795" s="1"/>
      <c r="G795" s="98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00"/>
      <c r="C796" s="22"/>
      <c r="D796" s="1"/>
      <c r="E796" s="1"/>
      <c r="F796" s="1"/>
      <c r="G796" s="98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00"/>
      <c r="C797" s="22"/>
      <c r="D797" s="1"/>
      <c r="E797" s="1"/>
      <c r="F797" s="1"/>
      <c r="G797" s="98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00"/>
      <c r="C798" s="22"/>
      <c r="D798" s="1"/>
      <c r="E798" s="1"/>
      <c r="F798" s="1"/>
      <c r="G798" s="98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00"/>
      <c r="C799" s="22"/>
      <c r="D799" s="1"/>
      <c r="E799" s="1"/>
      <c r="F799" s="1"/>
      <c r="G799" s="98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00"/>
      <c r="C800" s="22"/>
      <c r="D800" s="1"/>
      <c r="E800" s="1"/>
      <c r="F800" s="1"/>
      <c r="G800" s="98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00"/>
      <c r="C801" s="22"/>
      <c r="D801" s="1"/>
      <c r="E801" s="1"/>
      <c r="F801" s="1"/>
      <c r="G801" s="98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00"/>
      <c r="C802" s="22"/>
      <c r="D802" s="1"/>
      <c r="E802" s="1"/>
      <c r="F802" s="1"/>
      <c r="G802" s="98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00"/>
      <c r="C803" s="22"/>
      <c r="D803" s="1"/>
      <c r="E803" s="1"/>
      <c r="F803" s="1"/>
      <c r="G803" s="98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00"/>
      <c r="C804" s="22"/>
      <c r="D804" s="1"/>
      <c r="E804" s="1"/>
      <c r="F804" s="1"/>
      <c r="G804" s="98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00"/>
      <c r="C805" s="22"/>
      <c r="D805" s="1"/>
      <c r="E805" s="1"/>
      <c r="F805" s="1"/>
      <c r="G805" s="98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00"/>
      <c r="C806" s="22"/>
      <c r="D806" s="1"/>
      <c r="E806" s="1"/>
      <c r="F806" s="1"/>
      <c r="G806" s="98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00"/>
      <c r="C807" s="22"/>
      <c r="D807" s="1"/>
      <c r="E807" s="1"/>
      <c r="F807" s="1"/>
      <c r="G807" s="98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00"/>
      <c r="C808" s="22"/>
      <c r="D808" s="1"/>
      <c r="E808" s="1"/>
      <c r="F808" s="1"/>
      <c r="G808" s="98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00"/>
      <c r="C809" s="22"/>
      <c r="D809" s="1"/>
      <c r="E809" s="1"/>
      <c r="F809" s="1"/>
      <c r="G809" s="98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00"/>
      <c r="C810" s="22"/>
      <c r="D810" s="1"/>
      <c r="E810" s="1"/>
      <c r="F810" s="1"/>
      <c r="G810" s="98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00"/>
      <c r="C811" s="22"/>
      <c r="D811" s="1"/>
      <c r="E811" s="1"/>
      <c r="F811" s="1"/>
      <c r="G811" s="98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00"/>
      <c r="C812" s="22"/>
      <c r="D812" s="1"/>
      <c r="E812" s="1"/>
      <c r="F812" s="1"/>
      <c r="G812" s="98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00"/>
      <c r="C813" s="22"/>
      <c r="D813" s="1"/>
      <c r="E813" s="1"/>
      <c r="F813" s="1"/>
      <c r="G813" s="98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00"/>
      <c r="C814" s="22"/>
      <c r="D814" s="1"/>
      <c r="E814" s="1"/>
      <c r="F814" s="1"/>
      <c r="G814" s="98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00"/>
      <c r="C815" s="22"/>
      <c r="D815" s="1"/>
      <c r="E815" s="1"/>
      <c r="F815" s="1"/>
      <c r="G815" s="98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00"/>
      <c r="C816" s="22"/>
      <c r="D816" s="1"/>
      <c r="E816" s="1"/>
      <c r="F816" s="1"/>
      <c r="G816" s="98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00"/>
      <c r="C817" s="22"/>
      <c r="D817" s="1"/>
      <c r="E817" s="1"/>
      <c r="F817" s="1"/>
      <c r="G817" s="98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00"/>
      <c r="C818" s="22"/>
      <c r="D818" s="1"/>
      <c r="E818" s="1"/>
      <c r="F818" s="1"/>
      <c r="G818" s="98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00"/>
      <c r="C819" s="22"/>
      <c r="D819" s="1"/>
      <c r="E819" s="1"/>
      <c r="F819" s="1"/>
      <c r="G819" s="98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00"/>
      <c r="C820" s="22"/>
      <c r="D820" s="1"/>
      <c r="E820" s="1"/>
      <c r="F820" s="1"/>
      <c r="G820" s="98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00"/>
      <c r="C821" s="22"/>
      <c r="D821" s="1"/>
      <c r="E821" s="1"/>
      <c r="F821" s="1"/>
      <c r="G821" s="98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00"/>
      <c r="C822" s="22"/>
      <c r="D822" s="1"/>
      <c r="E822" s="1"/>
      <c r="F822" s="1"/>
      <c r="G822" s="98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00"/>
      <c r="C823" s="22"/>
      <c r="D823" s="1"/>
      <c r="E823" s="1"/>
      <c r="F823" s="1"/>
      <c r="G823" s="98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00"/>
      <c r="C824" s="22"/>
      <c r="D824" s="1"/>
      <c r="E824" s="1"/>
      <c r="F824" s="1"/>
      <c r="G824" s="98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00"/>
      <c r="C825" s="22"/>
      <c r="D825" s="1"/>
      <c r="E825" s="1"/>
      <c r="F825" s="1"/>
      <c r="G825" s="98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00"/>
      <c r="C826" s="22"/>
      <c r="D826" s="1"/>
      <c r="E826" s="1"/>
      <c r="F826" s="1"/>
      <c r="G826" s="98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00"/>
      <c r="C827" s="22"/>
      <c r="D827" s="1"/>
      <c r="E827" s="1"/>
      <c r="F827" s="1"/>
      <c r="G827" s="98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00"/>
      <c r="C828" s="22"/>
      <c r="D828" s="1"/>
      <c r="E828" s="1"/>
      <c r="F828" s="1"/>
      <c r="G828" s="98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00"/>
      <c r="C829" s="22"/>
      <c r="D829" s="1"/>
      <c r="E829" s="1"/>
      <c r="F829" s="1"/>
      <c r="G829" s="98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00"/>
      <c r="C830" s="22"/>
      <c r="D830" s="1"/>
      <c r="E830" s="1"/>
      <c r="F830" s="1"/>
      <c r="G830" s="98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00"/>
      <c r="C831" s="22"/>
      <c r="D831" s="1"/>
      <c r="E831" s="1"/>
      <c r="F831" s="1"/>
      <c r="G831" s="98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00"/>
      <c r="C832" s="22"/>
      <c r="D832" s="1"/>
      <c r="E832" s="1"/>
      <c r="F832" s="1"/>
      <c r="G832" s="98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00"/>
      <c r="C833" s="22"/>
      <c r="D833" s="1"/>
      <c r="E833" s="1"/>
      <c r="F833" s="1"/>
      <c r="G833" s="98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00"/>
      <c r="C834" s="22"/>
      <c r="D834" s="1"/>
      <c r="E834" s="1"/>
      <c r="F834" s="1"/>
      <c r="G834" s="98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00"/>
      <c r="C835" s="22"/>
      <c r="D835" s="1"/>
      <c r="E835" s="1"/>
      <c r="F835" s="1"/>
      <c r="G835" s="98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00"/>
      <c r="C836" s="22"/>
      <c r="D836" s="1"/>
      <c r="E836" s="1"/>
      <c r="F836" s="1"/>
      <c r="G836" s="98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00"/>
      <c r="C837" s="22"/>
      <c r="D837" s="1"/>
      <c r="E837" s="1"/>
      <c r="F837" s="1"/>
      <c r="G837" s="98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00"/>
      <c r="C838" s="22"/>
      <c r="D838" s="1"/>
      <c r="E838" s="1"/>
      <c r="F838" s="1"/>
      <c r="G838" s="98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00"/>
      <c r="C839" s="22"/>
      <c r="D839" s="1"/>
      <c r="E839" s="1"/>
      <c r="F839" s="1"/>
      <c r="G839" s="98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00"/>
      <c r="C840" s="22"/>
      <c r="D840" s="1"/>
      <c r="E840" s="1"/>
      <c r="F840" s="1"/>
      <c r="G840" s="98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00"/>
      <c r="C841" s="22"/>
      <c r="D841" s="1"/>
      <c r="E841" s="1"/>
      <c r="F841" s="1"/>
      <c r="G841" s="98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00"/>
      <c r="C842" s="22"/>
      <c r="D842" s="1"/>
      <c r="E842" s="1"/>
      <c r="F842" s="1"/>
      <c r="G842" s="98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00"/>
      <c r="C843" s="22"/>
      <c r="D843" s="1"/>
      <c r="E843" s="1"/>
      <c r="F843" s="1"/>
      <c r="G843" s="98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00"/>
      <c r="C844" s="22"/>
      <c r="D844" s="1"/>
      <c r="E844" s="1"/>
      <c r="F844" s="1"/>
      <c r="G844" s="98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00"/>
      <c r="C845" s="22"/>
      <c r="D845" s="1"/>
      <c r="E845" s="1"/>
      <c r="F845" s="1"/>
      <c r="G845" s="98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00"/>
      <c r="C846" s="22"/>
      <c r="D846" s="1"/>
      <c r="E846" s="1"/>
      <c r="F846" s="1"/>
      <c r="G846" s="98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00"/>
      <c r="C847" s="22"/>
      <c r="D847" s="1"/>
      <c r="E847" s="1"/>
      <c r="F847" s="1"/>
      <c r="G847" s="98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00"/>
      <c r="C848" s="22"/>
      <c r="D848" s="1"/>
      <c r="E848" s="1"/>
      <c r="F848" s="1"/>
      <c r="G848" s="98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00"/>
      <c r="C849" s="22"/>
      <c r="D849" s="1"/>
      <c r="E849" s="1"/>
      <c r="F849" s="1"/>
      <c r="G849" s="98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00"/>
      <c r="C850" s="22"/>
      <c r="D850" s="1"/>
      <c r="E850" s="1"/>
      <c r="F850" s="1"/>
      <c r="G850" s="98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00"/>
      <c r="C851" s="22"/>
      <c r="D851" s="1"/>
      <c r="E851" s="1"/>
      <c r="F851" s="1"/>
      <c r="G851" s="98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00"/>
      <c r="C852" s="22"/>
      <c r="D852" s="1"/>
      <c r="E852" s="1"/>
      <c r="F852" s="1"/>
      <c r="G852" s="98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00"/>
      <c r="C853" s="22"/>
      <c r="D853" s="1"/>
      <c r="E853" s="1"/>
      <c r="F853" s="1"/>
      <c r="G853" s="98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00"/>
      <c r="C854" s="22"/>
      <c r="D854" s="1"/>
      <c r="E854" s="1"/>
      <c r="F854" s="1"/>
      <c r="G854" s="98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00"/>
      <c r="C855" s="22"/>
      <c r="D855" s="1"/>
      <c r="E855" s="1"/>
      <c r="F855" s="1"/>
      <c r="G855" s="98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00"/>
      <c r="C856" s="22"/>
      <c r="D856" s="1"/>
      <c r="E856" s="1"/>
      <c r="F856" s="1"/>
      <c r="G856" s="98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00"/>
      <c r="C857" s="22"/>
      <c r="D857" s="1"/>
      <c r="E857" s="1"/>
      <c r="F857" s="1"/>
      <c r="G857" s="98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00"/>
      <c r="C858" s="22"/>
      <c r="D858" s="1"/>
      <c r="E858" s="1"/>
      <c r="F858" s="1"/>
      <c r="G858" s="98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00"/>
      <c r="C859" s="22"/>
      <c r="D859" s="1"/>
      <c r="E859" s="1"/>
      <c r="F859" s="1"/>
      <c r="G859" s="98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00"/>
      <c r="C860" s="22"/>
      <c r="D860" s="1"/>
      <c r="E860" s="1"/>
      <c r="F860" s="1"/>
      <c r="G860" s="98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00"/>
      <c r="C861" s="22"/>
      <c r="D861" s="1"/>
      <c r="E861" s="1"/>
      <c r="F861" s="1"/>
      <c r="G861" s="98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00"/>
      <c r="C862" s="22"/>
      <c r="D862" s="1"/>
      <c r="E862" s="1"/>
      <c r="F862" s="1"/>
      <c r="G862" s="98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00"/>
      <c r="C863" s="22"/>
      <c r="D863" s="1"/>
      <c r="E863" s="1"/>
      <c r="F863" s="1"/>
      <c r="G863" s="98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00"/>
      <c r="C864" s="22"/>
      <c r="D864" s="1"/>
      <c r="E864" s="1"/>
      <c r="F864" s="1"/>
      <c r="G864" s="98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00"/>
      <c r="C865" s="22"/>
      <c r="D865" s="1"/>
      <c r="E865" s="1"/>
      <c r="F865" s="1"/>
      <c r="G865" s="98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00"/>
      <c r="C866" s="22"/>
      <c r="D866" s="1"/>
      <c r="E866" s="1"/>
      <c r="F866" s="1"/>
      <c r="G866" s="98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00"/>
      <c r="C867" s="22"/>
      <c r="D867" s="1"/>
      <c r="E867" s="1"/>
      <c r="F867" s="1"/>
      <c r="G867" s="98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00"/>
      <c r="C868" s="22"/>
      <c r="D868" s="1"/>
      <c r="E868" s="1"/>
      <c r="F868" s="1"/>
      <c r="G868" s="98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00"/>
      <c r="C869" s="22"/>
      <c r="D869" s="1"/>
      <c r="E869" s="1"/>
      <c r="F869" s="1"/>
      <c r="G869" s="98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00"/>
      <c r="C870" s="22"/>
      <c r="D870" s="1"/>
      <c r="E870" s="1"/>
      <c r="F870" s="1"/>
      <c r="G870" s="98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00"/>
      <c r="C871" s="22"/>
      <c r="D871" s="1"/>
      <c r="E871" s="1"/>
      <c r="F871" s="1"/>
      <c r="G871" s="98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00"/>
      <c r="C872" s="22"/>
      <c r="D872" s="1"/>
      <c r="E872" s="1"/>
      <c r="F872" s="1"/>
      <c r="G872" s="98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00"/>
      <c r="C873" s="22"/>
      <c r="D873" s="1"/>
      <c r="E873" s="1"/>
      <c r="F873" s="1"/>
      <c r="G873" s="98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00"/>
      <c r="C874" s="22"/>
      <c r="D874" s="1"/>
      <c r="E874" s="1"/>
      <c r="F874" s="1"/>
      <c r="G874" s="98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00"/>
      <c r="C875" s="22"/>
      <c r="D875" s="1"/>
      <c r="E875" s="1"/>
      <c r="F875" s="1"/>
      <c r="G875" s="98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00"/>
      <c r="C876" s="22"/>
      <c r="D876" s="1"/>
      <c r="E876" s="1"/>
      <c r="F876" s="1"/>
      <c r="G876" s="98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00"/>
      <c r="C877" s="22"/>
      <c r="D877" s="1"/>
      <c r="E877" s="1"/>
      <c r="F877" s="1"/>
      <c r="G877" s="98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00"/>
      <c r="C878" s="22"/>
      <c r="D878" s="1"/>
      <c r="E878" s="1"/>
      <c r="F878" s="1"/>
      <c r="G878" s="98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00"/>
      <c r="C879" s="22"/>
      <c r="D879" s="1"/>
      <c r="E879" s="1"/>
      <c r="F879" s="1"/>
      <c r="G879" s="98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00"/>
      <c r="C880" s="22"/>
      <c r="D880" s="1"/>
      <c r="E880" s="1"/>
      <c r="F880" s="1"/>
      <c r="G880" s="98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00"/>
      <c r="C881" s="22"/>
      <c r="D881" s="1"/>
      <c r="E881" s="1"/>
      <c r="F881" s="1"/>
      <c r="G881" s="98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00"/>
      <c r="C882" s="22"/>
      <c r="D882" s="1"/>
      <c r="E882" s="1"/>
      <c r="F882" s="1"/>
      <c r="G882" s="98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00"/>
      <c r="C883" s="22"/>
      <c r="D883" s="1"/>
      <c r="E883" s="1"/>
      <c r="F883" s="1"/>
      <c r="G883" s="98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00"/>
      <c r="C884" s="22"/>
      <c r="D884" s="1"/>
      <c r="E884" s="1"/>
      <c r="F884" s="1"/>
      <c r="G884" s="98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00"/>
      <c r="C885" s="22"/>
      <c r="D885" s="1"/>
      <c r="E885" s="1"/>
      <c r="F885" s="1"/>
      <c r="G885" s="98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00"/>
      <c r="C886" s="22"/>
      <c r="D886" s="1"/>
      <c r="E886" s="1"/>
      <c r="F886" s="1"/>
      <c r="G886" s="98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00"/>
      <c r="C887" s="22"/>
      <c r="D887" s="1"/>
      <c r="E887" s="1"/>
      <c r="F887" s="1"/>
      <c r="G887" s="98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00"/>
      <c r="C888" s="22"/>
      <c r="D888" s="1"/>
      <c r="E888" s="1"/>
      <c r="F888" s="1"/>
      <c r="G888" s="98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00"/>
      <c r="C889" s="22"/>
      <c r="D889" s="1"/>
      <c r="E889" s="1"/>
      <c r="F889" s="1"/>
      <c r="G889" s="98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00"/>
      <c r="C890" s="22"/>
      <c r="D890" s="1"/>
      <c r="E890" s="1"/>
      <c r="F890" s="1"/>
      <c r="G890" s="98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00"/>
      <c r="C891" s="22"/>
      <c r="D891" s="1"/>
      <c r="E891" s="1"/>
      <c r="F891" s="1"/>
      <c r="G891" s="98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00"/>
      <c r="C892" s="22"/>
      <c r="D892" s="1"/>
      <c r="E892" s="1"/>
      <c r="F892" s="1"/>
      <c r="G892" s="98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00"/>
      <c r="C893" s="22"/>
      <c r="D893" s="1"/>
      <c r="E893" s="1"/>
      <c r="F893" s="1"/>
      <c r="G893" s="98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00"/>
      <c r="C894" s="22"/>
      <c r="D894" s="1"/>
      <c r="E894" s="1"/>
      <c r="F894" s="1"/>
      <c r="G894" s="98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00"/>
      <c r="C895" s="22"/>
      <c r="D895" s="1"/>
      <c r="E895" s="1"/>
      <c r="F895" s="1"/>
      <c r="G895" s="98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00"/>
      <c r="C896" s="22"/>
      <c r="D896" s="1"/>
      <c r="E896" s="1"/>
      <c r="F896" s="1"/>
      <c r="G896" s="98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00"/>
      <c r="C897" s="22"/>
      <c r="D897" s="1"/>
      <c r="E897" s="1"/>
      <c r="F897" s="1"/>
      <c r="G897" s="98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00"/>
      <c r="C898" s="22"/>
      <c r="D898" s="1"/>
      <c r="E898" s="1"/>
      <c r="F898" s="1"/>
      <c r="G898" s="98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00"/>
      <c r="C899" s="22"/>
      <c r="D899" s="1"/>
      <c r="E899" s="1"/>
      <c r="F899" s="1"/>
      <c r="G899" s="98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00"/>
      <c r="C900" s="22"/>
      <c r="D900" s="1"/>
      <c r="E900" s="1"/>
      <c r="F900" s="1"/>
      <c r="G900" s="98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00"/>
      <c r="C901" s="22"/>
      <c r="D901" s="1"/>
      <c r="E901" s="1"/>
      <c r="F901" s="1"/>
      <c r="G901" s="98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00"/>
      <c r="C902" s="22"/>
      <c r="D902" s="1"/>
      <c r="E902" s="1"/>
      <c r="F902" s="1"/>
      <c r="G902" s="98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00"/>
      <c r="C903" s="22"/>
      <c r="D903" s="1"/>
      <c r="E903" s="1"/>
      <c r="F903" s="1"/>
      <c r="G903" s="98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00"/>
      <c r="C904" s="22"/>
      <c r="D904" s="1"/>
      <c r="E904" s="1"/>
      <c r="F904" s="1"/>
      <c r="G904" s="98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00"/>
      <c r="C905" s="22"/>
      <c r="D905" s="1"/>
      <c r="E905" s="1"/>
      <c r="F905" s="1"/>
      <c r="G905" s="98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00"/>
      <c r="C906" s="22"/>
      <c r="D906" s="1"/>
      <c r="E906" s="1"/>
      <c r="F906" s="1"/>
      <c r="G906" s="98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00"/>
      <c r="C907" s="22"/>
      <c r="D907" s="1"/>
      <c r="E907" s="1"/>
      <c r="F907" s="1"/>
      <c r="G907" s="98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00"/>
      <c r="C908" s="22"/>
      <c r="D908" s="1"/>
      <c r="E908" s="1"/>
      <c r="F908" s="1"/>
      <c r="G908" s="98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00"/>
      <c r="C909" s="22"/>
      <c r="D909" s="1"/>
      <c r="E909" s="1"/>
      <c r="F909" s="1"/>
      <c r="G909" s="98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00"/>
      <c r="C910" s="22"/>
      <c r="D910" s="1"/>
      <c r="E910" s="1"/>
      <c r="F910" s="1"/>
      <c r="G910" s="98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00"/>
      <c r="C911" s="22"/>
      <c r="D911" s="1"/>
      <c r="E911" s="1"/>
      <c r="F911" s="1"/>
      <c r="G911" s="98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00"/>
      <c r="C912" s="22"/>
      <c r="D912" s="1"/>
      <c r="E912" s="1"/>
      <c r="F912" s="1"/>
      <c r="G912" s="98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00"/>
      <c r="C913" s="22"/>
      <c r="D913" s="1"/>
      <c r="E913" s="1"/>
      <c r="F913" s="1"/>
      <c r="G913" s="98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00"/>
      <c r="C914" s="22"/>
      <c r="D914" s="1"/>
      <c r="E914" s="1"/>
      <c r="F914" s="1"/>
      <c r="G914" s="98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00"/>
      <c r="C915" s="22"/>
      <c r="D915" s="1"/>
      <c r="E915" s="1"/>
      <c r="F915" s="1"/>
      <c r="G915" s="98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00"/>
      <c r="C916" s="22"/>
      <c r="D916" s="1"/>
      <c r="E916" s="1"/>
      <c r="F916" s="1"/>
      <c r="G916" s="98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00"/>
      <c r="C917" s="22"/>
      <c r="D917" s="1"/>
      <c r="E917" s="1"/>
      <c r="F917" s="1"/>
      <c r="G917" s="98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00"/>
      <c r="C918" s="22"/>
      <c r="D918" s="1"/>
      <c r="E918" s="1"/>
      <c r="F918" s="1"/>
      <c r="G918" s="98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00"/>
      <c r="C919" s="22"/>
      <c r="D919" s="1"/>
      <c r="E919" s="1"/>
      <c r="F919" s="1"/>
      <c r="G919" s="98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00"/>
      <c r="C920" s="22"/>
      <c r="D920" s="1"/>
      <c r="E920" s="1"/>
      <c r="F920" s="1"/>
      <c r="G920" s="98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00"/>
      <c r="C921" s="22"/>
      <c r="D921" s="1"/>
      <c r="E921" s="1"/>
      <c r="F921" s="1"/>
      <c r="G921" s="98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00"/>
      <c r="C922" s="22"/>
      <c r="D922" s="1"/>
      <c r="E922" s="1"/>
      <c r="F922" s="1"/>
      <c r="G922" s="98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00"/>
      <c r="C923" s="22"/>
      <c r="D923" s="1"/>
      <c r="E923" s="1"/>
      <c r="F923" s="1"/>
      <c r="G923" s="98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00"/>
      <c r="C924" s="22"/>
      <c r="D924" s="1"/>
      <c r="E924" s="1"/>
      <c r="F924" s="1"/>
      <c r="G924" s="98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00"/>
      <c r="C925" s="22"/>
      <c r="D925" s="1"/>
      <c r="E925" s="1"/>
      <c r="F925" s="1"/>
      <c r="G925" s="98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00"/>
      <c r="C926" s="22"/>
      <c r="D926" s="1"/>
      <c r="E926" s="1"/>
      <c r="F926" s="1"/>
      <c r="G926" s="98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00"/>
      <c r="C927" s="22"/>
      <c r="D927" s="1"/>
      <c r="E927" s="1"/>
      <c r="F927" s="1"/>
      <c r="G927" s="98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00"/>
      <c r="C928" s="22"/>
      <c r="D928" s="1"/>
      <c r="E928" s="1"/>
      <c r="F928" s="1"/>
      <c r="G928" s="98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00"/>
      <c r="C929" s="22"/>
      <c r="D929" s="1"/>
      <c r="E929" s="1"/>
      <c r="F929" s="1"/>
      <c r="G929" s="98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00"/>
      <c r="C930" s="22"/>
      <c r="D930" s="1"/>
      <c r="E930" s="1"/>
      <c r="F930" s="1"/>
      <c r="G930" s="98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00"/>
      <c r="C931" s="22"/>
      <c r="D931" s="1"/>
      <c r="E931" s="1"/>
      <c r="F931" s="1"/>
      <c r="G931" s="98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00"/>
      <c r="C932" s="22"/>
      <c r="D932" s="1"/>
      <c r="E932" s="1"/>
      <c r="F932" s="1"/>
      <c r="G932" s="98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00"/>
      <c r="C933" s="22"/>
      <c r="D933" s="1"/>
      <c r="E933" s="1"/>
      <c r="F933" s="1"/>
      <c r="G933" s="98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00"/>
      <c r="C934" s="22"/>
      <c r="D934" s="1"/>
      <c r="E934" s="1"/>
      <c r="F934" s="1"/>
      <c r="G934" s="98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00"/>
      <c r="C935" s="22"/>
      <c r="D935" s="1"/>
      <c r="E935" s="1"/>
      <c r="F935" s="1"/>
      <c r="G935" s="98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00"/>
      <c r="C936" s="22"/>
      <c r="D936" s="1"/>
      <c r="E936" s="1"/>
      <c r="F936" s="1"/>
      <c r="G936" s="98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00"/>
      <c r="C937" s="22"/>
      <c r="D937" s="1"/>
      <c r="E937" s="1"/>
      <c r="F937" s="1"/>
      <c r="G937" s="98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00"/>
      <c r="C938" s="22"/>
      <c r="D938" s="1"/>
      <c r="E938" s="1"/>
      <c r="F938" s="1"/>
      <c r="G938" s="98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00"/>
      <c r="C939" s="22"/>
      <c r="D939" s="1"/>
      <c r="E939" s="1"/>
      <c r="F939" s="1"/>
      <c r="G939" s="98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00"/>
      <c r="C940" s="22"/>
      <c r="D940" s="1"/>
      <c r="E940" s="1"/>
      <c r="F940" s="1"/>
      <c r="G940" s="98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00"/>
      <c r="C941" s="22"/>
      <c r="D941" s="1"/>
      <c r="E941" s="1"/>
      <c r="F941" s="1"/>
      <c r="G941" s="98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00"/>
      <c r="C942" s="22"/>
      <c r="D942" s="1"/>
      <c r="E942" s="1"/>
      <c r="F942" s="1"/>
      <c r="G942" s="98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00"/>
      <c r="C943" s="22"/>
      <c r="D943" s="1"/>
      <c r="E943" s="1"/>
      <c r="F943" s="1"/>
      <c r="G943" s="98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00"/>
      <c r="C944" s="22"/>
      <c r="D944" s="1"/>
      <c r="E944" s="1"/>
      <c r="F944" s="1"/>
      <c r="G944" s="98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00"/>
      <c r="C945" s="22"/>
      <c r="D945" s="1"/>
      <c r="E945" s="1"/>
      <c r="F945" s="1"/>
      <c r="G945" s="98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00"/>
      <c r="C946" s="22"/>
      <c r="D946" s="1"/>
      <c r="E946" s="1"/>
      <c r="F946" s="1"/>
      <c r="G946" s="98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00"/>
      <c r="C947" s="22"/>
      <c r="D947" s="1"/>
      <c r="E947" s="1"/>
      <c r="F947" s="1"/>
      <c r="G947" s="98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00"/>
      <c r="C948" s="22"/>
      <c r="D948" s="1"/>
      <c r="E948" s="1"/>
      <c r="F948" s="1"/>
      <c r="G948" s="98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00"/>
      <c r="C949" s="22"/>
      <c r="D949" s="1"/>
      <c r="E949" s="1"/>
      <c r="F949" s="1"/>
      <c r="G949" s="98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00"/>
      <c r="C950" s="22"/>
      <c r="D950" s="1"/>
      <c r="E950" s="1"/>
      <c r="F950" s="1"/>
      <c r="G950" s="98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00"/>
      <c r="C951" s="22"/>
      <c r="D951" s="1"/>
      <c r="E951" s="1"/>
      <c r="F951" s="1"/>
      <c r="G951" s="98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00"/>
      <c r="C952" s="22"/>
      <c r="D952" s="1"/>
      <c r="E952" s="1"/>
      <c r="F952" s="1"/>
      <c r="G952" s="98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00"/>
      <c r="C953" s="22"/>
      <c r="D953" s="1"/>
      <c r="E953" s="1"/>
      <c r="F953" s="1"/>
      <c r="G953" s="98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00"/>
      <c r="C954" s="22"/>
      <c r="D954" s="1"/>
      <c r="E954" s="1"/>
      <c r="F954" s="1"/>
      <c r="G954" s="98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00"/>
      <c r="C955" s="22"/>
      <c r="D955" s="1"/>
      <c r="E955" s="1"/>
      <c r="F955" s="1"/>
      <c r="G955" s="98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00"/>
      <c r="C956" s="22"/>
      <c r="D956" s="1"/>
      <c r="E956" s="1"/>
      <c r="F956" s="1"/>
      <c r="G956" s="98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00"/>
      <c r="C957" s="22"/>
      <c r="D957" s="1"/>
      <c r="E957" s="1"/>
      <c r="F957" s="1"/>
      <c r="G957" s="98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00"/>
      <c r="C958" s="22"/>
      <c r="D958" s="1"/>
      <c r="E958" s="1"/>
      <c r="F958" s="1"/>
      <c r="G958" s="98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00"/>
      <c r="C959" s="22"/>
      <c r="D959" s="1"/>
      <c r="E959" s="1"/>
      <c r="F959" s="1"/>
      <c r="G959" s="98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00"/>
      <c r="C960" s="22"/>
      <c r="D960" s="1"/>
      <c r="E960" s="1"/>
      <c r="F960" s="1"/>
      <c r="G960" s="98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00"/>
      <c r="C961" s="22"/>
      <c r="D961" s="1"/>
      <c r="E961" s="1"/>
      <c r="F961" s="1"/>
      <c r="G961" s="98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00"/>
      <c r="C962" s="22"/>
      <c r="D962" s="1"/>
      <c r="E962" s="1"/>
      <c r="F962" s="1"/>
      <c r="G962" s="98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00"/>
      <c r="C963" s="22"/>
      <c r="D963" s="1"/>
      <c r="E963" s="1"/>
      <c r="F963" s="1"/>
      <c r="G963" s="98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00"/>
      <c r="C964" s="22"/>
      <c r="D964" s="1"/>
      <c r="E964" s="1"/>
      <c r="F964" s="1"/>
      <c r="G964" s="98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00"/>
      <c r="C965" s="22"/>
      <c r="D965" s="1"/>
      <c r="E965" s="1"/>
      <c r="F965" s="1"/>
      <c r="G965" s="98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00"/>
      <c r="C966" s="22"/>
      <c r="D966" s="1"/>
      <c r="E966" s="1"/>
      <c r="F966" s="1"/>
      <c r="G966" s="98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00"/>
      <c r="C967" s="22"/>
      <c r="D967" s="1"/>
      <c r="E967" s="1"/>
      <c r="F967" s="1"/>
      <c r="G967" s="98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00"/>
      <c r="C968" s="22"/>
      <c r="D968" s="1"/>
      <c r="E968" s="1"/>
      <c r="F968" s="1"/>
      <c r="G968" s="98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00"/>
      <c r="C969" s="22"/>
      <c r="D969" s="1"/>
      <c r="E969" s="1"/>
      <c r="F969" s="1"/>
      <c r="G969" s="98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00"/>
      <c r="C970" s="22"/>
      <c r="D970" s="1"/>
      <c r="E970" s="1"/>
      <c r="F970" s="1"/>
      <c r="G970" s="98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00"/>
      <c r="C971" s="22"/>
      <c r="D971" s="1"/>
      <c r="E971" s="1"/>
      <c r="F971" s="1"/>
      <c r="G971" s="98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00"/>
      <c r="C972" s="22"/>
      <c r="D972" s="1"/>
      <c r="E972" s="1"/>
      <c r="F972" s="1"/>
      <c r="G972" s="98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00"/>
      <c r="C973" s="22"/>
      <c r="D973" s="1"/>
      <c r="E973" s="1"/>
      <c r="F973" s="1"/>
      <c r="G973" s="98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00"/>
      <c r="C974" s="22"/>
      <c r="D974" s="1"/>
      <c r="E974" s="1"/>
      <c r="F974" s="1"/>
      <c r="G974" s="98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00"/>
      <c r="C975" s="22"/>
      <c r="D975" s="1"/>
      <c r="E975" s="1"/>
      <c r="F975" s="1"/>
      <c r="G975" s="98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00"/>
      <c r="C976" s="22"/>
      <c r="D976" s="1"/>
      <c r="E976" s="1"/>
      <c r="F976" s="1"/>
      <c r="G976" s="98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00"/>
      <c r="C977" s="22"/>
      <c r="D977" s="1"/>
      <c r="E977" s="1"/>
      <c r="F977" s="1"/>
      <c r="G977" s="98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00"/>
      <c r="C978" s="22"/>
      <c r="D978" s="1"/>
      <c r="E978" s="1"/>
      <c r="F978" s="1"/>
      <c r="G978" s="98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00"/>
      <c r="C979" s="22"/>
      <c r="D979" s="1"/>
      <c r="E979" s="1"/>
      <c r="F979" s="1"/>
      <c r="G979" s="98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00"/>
      <c r="C980" s="22"/>
      <c r="D980" s="1"/>
      <c r="E980" s="1"/>
      <c r="F980" s="1"/>
      <c r="G980" s="98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00"/>
      <c r="C981" s="22"/>
      <c r="D981" s="1"/>
      <c r="E981" s="1"/>
      <c r="F981" s="1"/>
      <c r="G981" s="98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00"/>
      <c r="C982" s="22"/>
      <c r="D982" s="1"/>
      <c r="E982" s="1"/>
      <c r="F982" s="1"/>
      <c r="G982" s="98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00"/>
      <c r="C983" s="22"/>
      <c r="D983" s="1"/>
      <c r="E983" s="1"/>
      <c r="F983" s="1"/>
      <c r="G983" s="98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00"/>
      <c r="C984" s="22"/>
      <c r="D984" s="1"/>
      <c r="E984" s="1"/>
      <c r="F984" s="1"/>
      <c r="G984" s="98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00"/>
      <c r="C985" s="22"/>
      <c r="D985" s="1"/>
      <c r="E985" s="1"/>
      <c r="F985" s="1"/>
      <c r="G985" s="98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00"/>
      <c r="C986" s="22"/>
      <c r="D986" s="1"/>
      <c r="E986" s="1"/>
      <c r="F986" s="1"/>
      <c r="G986" s="98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00"/>
      <c r="C987" s="22"/>
      <c r="D987" s="1"/>
      <c r="E987" s="1"/>
      <c r="F987" s="1"/>
      <c r="G987" s="98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00"/>
      <c r="C988" s="22"/>
      <c r="D988" s="1"/>
      <c r="E988" s="1"/>
      <c r="F988" s="1"/>
      <c r="G988" s="98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00"/>
      <c r="C989" s="22"/>
      <c r="D989" s="1"/>
      <c r="E989" s="1"/>
      <c r="F989" s="1"/>
      <c r="G989" s="98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00"/>
      <c r="C990" s="22"/>
      <c r="D990" s="1"/>
      <c r="E990" s="1"/>
      <c r="F990" s="1"/>
      <c r="G990" s="98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00"/>
      <c r="C991" s="22"/>
      <c r="D991" s="1"/>
      <c r="E991" s="1"/>
      <c r="F991" s="1"/>
      <c r="G991" s="98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00"/>
      <c r="C992" s="22"/>
      <c r="D992" s="1"/>
      <c r="E992" s="1"/>
      <c r="F992" s="1"/>
      <c r="G992" s="98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00"/>
      <c r="C993" s="22"/>
      <c r="D993" s="1"/>
      <c r="E993" s="1"/>
      <c r="F993" s="1"/>
      <c r="G993" s="98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00"/>
      <c r="C994" s="22"/>
      <c r="D994" s="1"/>
      <c r="E994" s="1"/>
      <c r="F994" s="1"/>
      <c r="G994" s="98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00"/>
      <c r="C995" s="22"/>
      <c r="D995" s="1"/>
      <c r="E995" s="1"/>
      <c r="F995" s="1"/>
      <c r="G995" s="98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00"/>
      <c r="C996" s="22"/>
      <c r="D996" s="1"/>
      <c r="E996" s="1"/>
      <c r="F996" s="1"/>
      <c r="G996" s="98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00"/>
      <c r="C997" s="22"/>
      <c r="D997" s="1"/>
      <c r="E997" s="1"/>
      <c r="F997" s="1"/>
      <c r="G997" s="98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00"/>
      <c r="C998" s="22"/>
      <c r="D998" s="1"/>
      <c r="E998" s="1"/>
      <c r="F998" s="1"/>
      <c r="G998" s="98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00"/>
      <c r="C999" s="22"/>
      <c r="D999" s="1"/>
      <c r="E999" s="1"/>
      <c r="F999" s="1"/>
      <c r="G999" s="98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00"/>
      <c r="C1000" s="22"/>
      <c r="D1000" s="1"/>
      <c r="E1000" s="1"/>
      <c r="F1000" s="1"/>
      <c r="G1000" s="98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00"/>
      <c r="C1001" s="22"/>
      <c r="D1001" s="1"/>
      <c r="E1001" s="1"/>
      <c r="F1001" s="1"/>
      <c r="G1001" s="98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00"/>
      <c r="C1002" s="22"/>
      <c r="D1002" s="1"/>
      <c r="E1002" s="1"/>
      <c r="F1002" s="1"/>
      <c r="G1002" s="98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5">
      <c r="A1003" s="1"/>
      <c r="B1003" s="100"/>
      <c r="C1003" s="22"/>
      <c r="D1003" s="1"/>
      <c r="E1003" s="1"/>
      <c r="F1003" s="1"/>
      <c r="G1003" s="98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5">
      <c r="A1004" s="1"/>
      <c r="B1004" s="100"/>
      <c r="C1004" s="22"/>
      <c r="D1004" s="1"/>
      <c r="E1004" s="1"/>
      <c r="F1004" s="1"/>
      <c r="G1004" s="98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5">
      <c r="A1005" s="1"/>
      <c r="B1005" s="100"/>
      <c r="C1005" s="22"/>
      <c r="D1005" s="1"/>
      <c r="E1005" s="1"/>
      <c r="F1005" s="1"/>
      <c r="G1005" s="98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5">
      <c r="A1006" s="1"/>
      <c r="B1006" s="100"/>
      <c r="C1006" s="22"/>
      <c r="D1006" s="1"/>
      <c r="E1006" s="1"/>
      <c r="F1006" s="1"/>
      <c r="G1006" s="98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5">
      <c r="A1007" s="1"/>
      <c r="B1007" s="100"/>
      <c r="C1007" s="22"/>
      <c r="D1007" s="1"/>
      <c r="E1007" s="1"/>
      <c r="F1007" s="1"/>
      <c r="G1007" s="98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5">
      <c r="A1008" s="1"/>
      <c r="B1008" s="100"/>
      <c r="C1008" s="22"/>
      <c r="D1008" s="1"/>
      <c r="E1008" s="1"/>
      <c r="F1008" s="1"/>
      <c r="G1008" s="98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5">
      <c r="A1009" s="1"/>
      <c r="B1009" s="100"/>
      <c r="C1009" s="22"/>
      <c r="D1009" s="1"/>
      <c r="E1009" s="1"/>
      <c r="F1009" s="1"/>
      <c r="G1009" s="98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25">
      <c r="A1010" s="1"/>
      <c r="B1010" s="100"/>
      <c r="C1010" s="22"/>
      <c r="D1010" s="1"/>
      <c r="E1010" s="1"/>
      <c r="F1010" s="1"/>
      <c r="G1010" s="98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25">
      <c r="A1011" s="1"/>
      <c r="B1011" s="100"/>
      <c r="C1011" s="22"/>
      <c r="D1011" s="1"/>
      <c r="E1011" s="1"/>
      <c r="F1011" s="1"/>
      <c r="G1011" s="98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25">
      <c r="A1012" s="1"/>
      <c r="B1012" s="100"/>
      <c r="C1012" s="22"/>
      <c r="D1012" s="1"/>
      <c r="E1012" s="1"/>
      <c r="F1012" s="1"/>
      <c r="G1012" s="98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25">
      <c r="A1013" s="1"/>
      <c r="B1013" s="100"/>
      <c r="C1013" s="22"/>
      <c r="D1013" s="1"/>
      <c r="E1013" s="1"/>
      <c r="F1013" s="1"/>
      <c r="G1013" s="98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25">
      <c r="A1014" s="1"/>
      <c r="B1014" s="100"/>
      <c r="C1014" s="22"/>
      <c r="D1014" s="1"/>
      <c r="E1014" s="1"/>
      <c r="F1014" s="1"/>
      <c r="G1014" s="98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25">
      <c r="A1015" s="1"/>
      <c r="B1015" s="100"/>
      <c r="C1015" s="22"/>
      <c r="D1015" s="1"/>
      <c r="E1015" s="1"/>
      <c r="F1015" s="1"/>
      <c r="G1015" s="98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25">
      <c r="A1016" s="1"/>
      <c r="B1016" s="100"/>
      <c r="C1016" s="22"/>
      <c r="D1016" s="1"/>
      <c r="E1016" s="1"/>
      <c r="F1016" s="1"/>
      <c r="G1016" s="98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25">
      <c r="A1017" s="1"/>
      <c r="B1017" s="100"/>
      <c r="C1017" s="22"/>
      <c r="D1017" s="1"/>
      <c r="E1017" s="1"/>
      <c r="F1017" s="1"/>
      <c r="G1017" s="98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 x14ac:dyDescent="0.25">
      <c r="A1018" s="1"/>
      <c r="B1018" s="100"/>
      <c r="C1018" s="22"/>
      <c r="D1018" s="1"/>
      <c r="E1018" s="1"/>
      <c r="F1018" s="1"/>
      <c r="G1018" s="98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 x14ac:dyDescent="0.25">
      <c r="A1019" s="1"/>
      <c r="B1019" s="100"/>
      <c r="C1019" s="22"/>
      <c r="D1019" s="1"/>
      <c r="E1019" s="1"/>
      <c r="F1019" s="1"/>
      <c r="G1019" s="98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 x14ac:dyDescent="0.25">
      <c r="A1020" s="1"/>
      <c r="B1020" s="100"/>
      <c r="C1020" s="22"/>
      <c r="D1020" s="1"/>
      <c r="E1020" s="1"/>
      <c r="F1020" s="1"/>
      <c r="G1020" s="98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 x14ac:dyDescent="0.25">
      <c r="A1021" s="1"/>
      <c r="B1021" s="100"/>
      <c r="C1021" s="22"/>
      <c r="D1021" s="1"/>
      <c r="E1021" s="1"/>
      <c r="F1021" s="1"/>
      <c r="G1021" s="98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 x14ac:dyDescent="0.25">
      <c r="A1022" s="1"/>
      <c r="B1022" s="100"/>
      <c r="C1022" s="22"/>
      <c r="D1022" s="1"/>
      <c r="E1022" s="1"/>
      <c r="F1022" s="1"/>
      <c r="G1022" s="98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 x14ac:dyDescent="0.25">
      <c r="A1023" s="1"/>
      <c r="B1023" s="100"/>
      <c r="C1023" s="22"/>
      <c r="D1023" s="1"/>
      <c r="E1023" s="1"/>
      <c r="F1023" s="1"/>
      <c r="G1023" s="98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 x14ac:dyDescent="0.25">
      <c r="A1024" s="1"/>
      <c r="B1024" s="100"/>
      <c r="C1024" s="22"/>
      <c r="D1024" s="1"/>
      <c r="E1024" s="1"/>
      <c r="F1024" s="1"/>
      <c r="G1024" s="98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 x14ac:dyDescent="0.25">
      <c r="A1025" s="1"/>
      <c r="B1025" s="100"/>
      <c r="C1025" s="22"/>
      <c r="D1025" s="1"/>
      <c r="E1025" s="1"/>
      <c r="F1025" s="1"/>
      <c r="G1025" s="98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customHeight="1" x14ac:dyDescent="0.25">
      <c r="A1026" s="1"/>
      <c r="B1026" s="100"/>
      <c r="C1026" s="22"/>
      <c r="D1026" s="1"/>
      <c r="E1026" s="1"/>
      <c r="F1026" s="1"/>
      <c r="G1026" s="98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customHeight="1" x14ac:dyDescent="0.25">
      <c r="A1027" s="1"/>
      <c r="B1027" s="100"/>
      <c r="C1027" s="22"/>
      <c r="D1027" s="1"/>
      <c r="E1027" s="1"/>
      <c r="F1027" s="1"/>
      <c r="G1027" s="98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.75" customHeight="1" x14ac:dyDescent="0.25">
      <c r="A1028" s="1"/>
      <c r="B1028" s="100"/>
      <c r="C1028" s="22"/>
      <c r="D1028" s="1"/>
      <c r="E1028" s="1"/>
      <c r="F1028" s="1"/>
      <c r="G1028" s="98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.75" customHeight="1" x14ac:dyDescent="0.25">
      <c r="A1029" s="1"/>
      <c r="B1029" s="100"/>
      <c r="C1029" s="22"/>
      <c r="D1029" s="1"/>
      <c r="E1029" s="1"/>
      <c r="F1029" s="1"/>
      <c r="G1029" s="98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.75" customHeight="1" x14ac:dyDescent="0.25">
      <c r="A1030" s="1"/>
      <c r="B1030" s="100"/>
      <c r="C1030" s="22"/>
      <c r="D1030" s="1"/>
      <c r="E1030" s="1"/>
      <c r="F1030" s="1"/>
      <c r="G1030" s="98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customHeight="1" x14ac:dyDescent="0.25">
      <c r="A1031" s="1"/>
      <c r="B1031" s="100"/>
      <c r="C1031" s="22"/>
      <c r="D1031" s="1"/>
      <c r="E1031" s="1"/>
      <c r="F1031" s="1"/>
      <c r="G1031" s="98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.75" customHeight="1" x14ac:dyDescent="0.25">
      <c r="A1032" s="1"/>
      <c r="B1032" s="100"/>
      <c r="C1032" s="22"/>
      <c r="D1032" s="1"/>
      <c r="E1032" s="1"/>
      <c r="F1032" s="1"/>
      <c r="G1032" s="98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.75" customHeight="1" x14ac:dyDescent="0.25">
      <c r="A1033" s="1"/>
      <c r="B1033" s="100"/>
      <c r="C1033" s="22"/>
      <c r="D1033" s="1"/>
      <c r="E1033" s="1"/>
      <c r="F1033" s="1"/>
      <c r="G1033" s="98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.75" customHeight="1" x14ac:dyDescent="0.25">
      <c r="A1034" s="1"/>
      <c r="B1034" s="100"/>
      <c r="C1034" s="22"/>
      <c r="D1034" s="1"/>
      <c r="E1034" s="1"/>
      <c r="F1034" s="1"/>
      <c r="G1034" s="98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.75" customHeight="1" x14ac:dyDescent="0.25">
      <c r="A1035" s="1"/>
      <c r="B1035" s="100"/>
      <c r="C1035" s="22"/>
      <c r="D1035" s="1"/>
      <c r="E1035" s="1"/>
      <c r="F1035" s="1"/>
      <c r="G1035" s="98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.75" customHeight="1" x14ac:dyDescent="0.25">
      <c r="A1036" s="1"/>
      <c r="B1036" s="100"/>
      <c r="C1036" s="22"/>
      <c r="D1036" s="1"/>
      <c r="E1036" s="1"/>
      <c r="F1036" s="1"/>
      <c r="G1036" s="98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.75" customHeight="1" x14ac:dyDescent="0.25">
      <c r="A1037" s="1"/>
      <c r="B1037" s="100"/>
      <c r="C1037" s="22"/>
      <c r="D1037" s="1"/>
      <c r="E1037" s="1"/>
      <c r="F1037" s="1"/>
      <c r="G1037" s="98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.75" customHeight="1" x14ac:dyDescent="0.25">
      <c r="A1038" s="1"/>
      <c r="B1038" s="100"/>
      <c r="C1038" s="22"/>
      <c r="D1038" s="1"/>
      <c r="E1038" s="1"/>
      <c r="F1038" s="1"/>
      <c r="G1038" s="98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.75" customHeight="1" x14ac:dyDescent="0.25">
      <c r="A1039" s="1"/>
      <c r="B1039" s="100"/>
      <c r="C1039" s="22"/>
      <c r="D1039" s="1"/>
      <c r="E1039" s="1"/>
      <c r="F1039" s="1"/>
      <c r="G1039" s="98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.75" customHeight="1" x14ac:dyDescent="0.25">
      <c r="A1040" s="1"/>
      <c r="B1040" s="100"/>
      <c r="C1040" s="22"/>
      <c r="D1040" s="1"/>
      <c r="E1040" s="1"/>
      <c r="F1040" s="1"/>
      <c r="G1040" s="98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.75" customHeight="1" x14ac:dyDescent="0.25">
      <c r="A1041" s="1"/>
      <c r="B1041" s="100"/>
      <c r="C1041" s="22"/>
      <c r="D1041" s="1"/>
      <c r="E1041" s="1"/>
      <c r="F1041" s="1"/>
      <c r="G1041" s="98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.75" customHeight="1" x14ac:dyDescent="0.25">
      <c r="A1042" s="1"/>
      <c r="B1042" s="100"/>
      <c r="C1042" s="22"/>
      <c r="D1042" s="1"/>
      <c r="E1042" s="1"/>
      <c r="F1042" s="1"/>
      <c r="G1042" s="98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.75" customHeight="1" x14ac:dyDescent="0.25">
      <c r="A1043" s="1"/>
      <c r="B1043" s="100"/>
      <c r="C1043" s="22"/>
      <c r="D1043" s="1"/>
      <c r="E1043" s="1"/>
      <c r="F1043" s="1"/>
      <c r="G1043" s="98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5.75" customHeight="1" x14ac:dyDescent="0.25">
      <c r="A1044" s="1"/>
      <c r="B1044" s="100"/>
      <c r="C1044" s="22"/>
      <c r="D1044" s="1"/>
      <c r="E1044" s="1"/>
      <c r="F1044" s="1"/>
      <c r="G1044" s="98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5.75" customHeight="1" x14ac:dyDescent="0.25">
      <c r="A1045" s="1"/>
      <c r="B1045" s="100"/>
      <c r="C1045" s="22"/>
      <c r="D1045" s="1"/>
      <c r="E1045" s="1"/>
      <c r="F1045" s="1"/>
      <c r="G1045" s="98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5.75" customHeight="1" x14ac:dyDescent="0.25">
      <c r="A1046" s="1"/>
      <c r="B1046" s="100"/>
      <c r="C1046" s="22"/>
      <c r="D1046" s="1"/>
      <c r="E1046" s="1"/>
      <c r="F1046" s="1"/>
      <c r="G1046" s="98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.75" customHeight="1" x14ac:dyDescent="0.25">
      <c r="A1047" s="1"/>
      <c r="B1047" s="100"/>
      <c r="C1047" s="22"/>
      <c r="D1047" s="1"/>
      <c r="E1047" s="1"/>
      <c r="F1047" s="1"/>
      <c r="G1047" s="98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5.75" customHeight="1" x14ac:dyDescent="0.25">
      <c r="A1048" s="1"/>
      <c r="B1048" s="100"/>
      <c r="C1048" s="22"/>
      <c r="D1048" s="1"/>
      <c r="E1048" s="1"/>
      <c r="F1048" s="1"/>
      <c r="G1048" s="98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.75" customHeight="1" x14ac:dyDescent="0.25">
      <c r="A1049" s="1"/>
      <c r="B1049" s="100"/>
      <c r="C1049" s="22"/>
      <c r="D1049" s="1"/>
      <c r="E1049" s="1"/>
      <c r="F1049" s="1"/>
      <c r="G1049" s="98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.75" customHeight="1" x14ac:dyDescent="0.25">
      <c r="A1050" s="1"/>
      <c r="B1050" s="100"/>
      <c r="C1050" s="22"/>
      <c r="D1050" s="1"/>
      <c r="E1050" s="1"/>
      <c r="F1050" s="1"/>
      <c r="G1050" s="98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.75" customHeight="1" x14ac:dyDescent="0.25">
      <c r="A1051" s="1"/>
      <c r="B1051" s="100"/>
      <c r="C1051" s="22"/>
      <c r="D1051" s="1"/>
      <c r="E1051" s="1"/>
      <c r="F1051" s="1"/>
      <c r="G1051" s="98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5.75" customHeight="1" x14ac:dyDescent="0.25">
      <c r="A1052" s="1"/>
      <c r="B1052" s="100"/>
      <c r="C1052" s="22"/>
      <c r="D1052" s="1"/>
      <c r="E1052" s="1"/>
      <c r="F1052" s="1"/>
      <c r="G1052" s="98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5.75" customHeight="1" x14ac:dyDescent="0.25">
      <c r="A1053" s="1"/>
      <c r="B1053" s="100"/>
      <c r="C1053" s="22"/>
      <c r="D1053" s="1"/>
      <c r="E1053" s="1"/>
      <c r="F1053" s="1"/>
      <c r="G1053" s="98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5.75" customHeight="1" x14ac:dyDescent="0.25">
      <c r="A1054" s="1"/>
      <c r="B1054" s="100"/>
      <c r="C1054" s="22"/>
      <c r="D1054" s="1"/>
      <c r="E1054" s="1"/>
      <c r="F1054" s="1"/>
      <c r="G1054" s="98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5.75" customHeight="1" x14ac:dyDescent="0.25">
      <c r="A1055" s="1"/>
      <c r="B1055" s="100"/>
      <c r="C1055" s="22"/>
      <c r="D1055" s="1"/>
      <c r="E1055" s="1"/>
      <c r="F1055" s="1"/>
      <c r="G1055" s="98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5.75" customHeight="1" x14ac:dyDescent="0.25">
      <c r="A1056" s="1"/>
      <c r="B1056" s="100"/>
      <c r="C1056" s="22"/>
      <c r="D1056" s="1"/>
      <c r="E1056" s="1"/>
      <c r="F1056" s="1"/>
      <c r="G1056" s="98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5.75" customHeight="1" x14ac:dyDescent="0.25">
      <c r="A1057" s="1"/>
      <c r="B1057" s="100"/>
      <c r="C1057" s="22"/>
      <c r="D1057" s="1"/>
      <c r="E1057" s="1"/>
      <c r="F1057" s="1"/>
      <c r="G1057" s="98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5.75" customHeight="1" x14ac:dyDescent="0.25">
      <c r="A1058" s="1"/>
      <c r="B1058" s="100"/>
      <c r="C1058" s="22"/>
      <c r="D1058" s="1"/>
      <c r="E1058" s="1"/>
      <c r="F1058" s="1"/>
      <c r="G1058" s="98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5.75" customHeight="1" x14ac:dyDescent="0.25">
      <c r="A1059" s="1"/>
      <c r="B1059" s="100"/>
      <c r="C1059" s="22"/>
      <c r="D1059" s="1"/>
      <c r="E1059" s="1"/>
      <c r="F1059" s="1"/>
      <c r="G1059" s="98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5.75" customHeight="1" x14ac:dyDescent="0.25">
      <c r="A1060" s="1"/>
      <c r="B1060" s="100"/>
      <c r="C1060" s="22"/>
      <c r="D1060" s="1"/>
      <c r="E1060" s="1"/>
      <c r="F1060" s="1"/>
      <c r="G1060" s="98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5.75" customHeight="1" x14ac:dyDescent="0.25">
      <c r="A1061" s="1"/>
      <c r="B1061" s="100"/>
      <c r="C1061" s="22"/>
      <c r="D1061" s="1"/>
      <c r="E1061" s="1"/>
      <c r="F1061" s="1"/>
      <c r="G1061" s="98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5.75" customHeight="1" x14ac:dyDescent="0.25">
      <c r="A1062" s="1"/>
      <c r="B1062" s="100"/>
      <c r="C1062" s="22"/>
      <c r="D1062" s="1"/>
      <c r="E1062" s="1"/>
      <c r="F1062" s="1"/>
      <c r="G1062" s="98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5.75" customHeight="1" x14ac:dyDescent="0.25">
      <c r="A1063" s="1"/>
      <c r="B1063" s="100"/>
      <c r="C1063" s="22"/>
      <c r="D1063" s="1"/>
      <c r="E1063" s="1"/>
      <c r="F1063" s="1"/>
      <c r="G1063" s="98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5.75" customHeight="1" x14ac:dyDescent="0.25">
      <c r="A1064" s="1"/>
      <c r="B1064" s="100"/>
      <c r="C1064" s="22"/>
      <c r="D1064" s="1"/>
      <c r="E1064" s="1"/>
      <c r="F1064" s="1"/>
      <c r="G1064" s="98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5.75" customHeight="1" x14ac:dyDescent="0.25">
      <c r="A1065" s="1"/>
      <c r="B1065" s="100"/>
      <c r="C1065" s="22"/>
      <c r="D1065" s="1"/>
      <c r="E1065" s="1"/>
      <c r="F1065" s="1"/>
      <c r="G1065" s="98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.75" customHeight="1" x14ac:dyDescent="0.25">
      <c r="A1066" s="1"/>
      <c r="B1066" s="100"/>
      <c r="C1066" s="22"/>
      <c r="D1066" s="1"/>
      <c r="E1066" s="1"/>
      <c r="F1066" s="1"/>
      <c r="G1066" s="98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5.75" customHeight="1" x14ac:dyDescent="0.25">
      <c r="A1067" s="1"/>
      <c r="B1067" s="100"/>
      <c r="C1067" s="22"/>
      <c r="D1067" s="1"/>
      <c r="E1067" s="1"/>
      <c r="F1067" s="1"/>
      <c r="G1067" s="98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5.75" customHeight="1" x14ac:dyDescent="0.25">
      <c r="A1068" s="1"/>
      <c r="B1068" s="100"/>
      <c r="C1068" s="22"/>
      <c r="D1068" s="1"/>
      <c r="E1068" s="1"/>
      <c r="F1068" s="1"/>
      <c r="G1068" s="98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5.75" customHeight="1" x14ac:dyDescent="0.25">
      <c r="A1069" s="1"/>
      <c r="B1069" s="100"/>
      <c r="C1069" s="22"/>
      <c r="D1069" s="1"/>
      <c r="E1069" s="1"/>
      <c r="F1069" s="1"/>
      <c r="G1069" s="98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5.75" customHeight="1" x14ac:dyDescent="0.25">
      <c r="A1070" s="1"/>
      <c r="B1070" s="100"/>
      <c r="C1070" s="22"/>
      <c r="D1070" s="1"/>
      <c r="E1070" s="1"/>
      <c r="F1070" s="1"/>
      <c r="G1070" s="98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5.75" customHeight="1" x14ac:dyDescent="0.25">
      <c r="A1071" s="1"/>
      <c r="B1071" s="100"/>
      <c r="C1071" s="22"/>
      <c r="D1071" s="1"/>
      <c r="E1071" s="1"/>
      <c r="F1071" s="1"/>
      <c r="G1071" s="98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5.75" customHeight="1" x14ac:dyDescent="0.25">
      <c r="A1072" s="1"/>
      <c r="B1072" s="100"/>
      <c r="C1072" s="22"/>
      <c r="D1072" s="1"/>
      <c r="E1072" s="1"/>
      <c r="F1072" s="1"/>
      <c r="G1072" s="98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5.75" customHeight="1" x14ac:dyDescent="0.25">
      <c r="A1073" s="1"/>
      <c r="B1073" s="100"/>
      <c r="C1073" s="22"/>
      <c r="D1073" s="1"/>
      <c r="E1073" s="1"/>
      <c r="F1073" s="1"/>
      <c r="G1073" s="98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5.75" customHeight="1" x14ac:dyDescent="0.25">
      <c r="A1074" s="1"/>
      <c r="B1074" s="100"/>
      <c r="C1074" s="22"/>
      <c r="D1074" s="1"/>
      <c r="E1074" s="1"/>
      <c r="F1074" s="1"/>
      <c r="G1074" s="98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5.75" customHeight="1" x14ac:dyDescent="0.25">
      <c r="A1075" s="1"/>
      <c r="B1075" s="100"/>
      <c r="C1075" s="22"/>
      <c r="D1075" s="1"/>
      <c r="E1075" s="1"/>
      <c r="F1075" s="1"/>
      <c r="G1075" s="98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5.75" customHeight="1" x14ac:dyDescent="0.25">
      <c r="A1076" s="1"/>
      <c r="B1076" s="100"/>
      <c r="C1076" s="22"/>
      <c r="D1076" s="1"/>
      <c r="E1076" s="1"/>
      <c r="F1076" s="1"/>
      <c r="G1076" s="98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5.75" customHeight="1" x14ac:dyDescent="0.25">
      <c r="A1077" s="1"/>
      <c r="B1077" s="100"/>
      <c r="C1077" s="22"/>
      <c r="D1077" s="1"/>
      <c r="E1077" s="1"/>
      <c r="F1077" s="1"/>
      <c r="G1077" s="98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5.75" customHeight="1" x14ac:dyDescent="0.25">
      <c r="A1078" s="1"/>
      <c r="B1078" s="100"/>
      <c r="C1078" s="22"/>
      <c r="D1078" s="1"/>
      <c r="E1078" s="1"/>
      <c r="F1078" s="1"/>
      <c r="G1078" s="98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5.75" customHeight="1" x14ac:dyDescent="0.25">
      <c r="A1079" s="1"/>
      <c r="B1079" s="100"/>
      <c r="C1079" s="22"/>
      <c r="D1079" s="1"/>
      <c r="E1079" s="1"/>
      <c r="F1079" s="1"/>
      <c r="G1079" s="98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5.75" customHeight="1" x14ac:dyDescent="0.25">
      <c r="A1080" s="1"/>
      <c r="B1080" s="100"/>
      <c r="C1080" s="22"/>
      <c r="D1080" s="1"/>
      <c r="E1080" s="1"/>
      <c r="F1080" s="1"/>
      <c r="G1080" s="98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5.75" customHeight="1" x14ac:dyDescent="0.25">
      <c r="A1081" s="1"/>
      <c r="B1081" s="100"/>
      <c r="C1081" s="22"/>
      <c r="D1081" s="1"/>
      <c r="E1081" s="1"/>
      <c r="F1081" s="1"/>
      <c r="G1081" s="98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5.75" customHeight="1" x14ac:dyDescent="0.25">
      <c r="A1082" s="1"/>
      <c r="B1082" s="100"/>
      <c r="C1082" s="22"/>
      <c r="D1082" s="1"/>
      <c r="E1082" s="1"/>
      <c r="F1082" s="1"/>
      <c r="G1082" s="98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5.75" customHeight="1" x14ac:dyDescent="0.25">
      <c r="A1083" s="1"/>
      <c r="B1083" s="100"/>
      <c r="C1083" s="22"/>
      <c r="D1083" s="1"/>
      <c r="E1083" s="1"/>
      <c r="F1083" s="1"/>
      <c r="G1083" s="98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5.75" customHeight="1" x14ac:dyDescent="0.25">
      <c r="A1084" s="1"/>
      <c r="B1084" s="100"/>
      <c r="C1084" s="22"/>
      <c r="D1084" s="1"/>
      <c r="E1084" s="1"/>
      <c r="F1084" s="1"/>
      <c r="G1084" s="98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5.75" customHeight="1" x14ac:dyDescent="0.25">
      <c r="A1085" s="1"/>
      <c r="B1085" s="100"/>
      <c r="C1085" s="22"/>
      <c r="D1085" s="1"/>
      <c r="E1085" s="1"/>
      <c r="F1085" s="1"/>
      <c r="G1085" s="98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.75" customHeight="1" x14ac:dyDescent="0.25">
      <c r="A1086" s="1"/>
      <c r="B1086" s="100"/>
      <c r="C1086" s="22"/>
      <c r="D1086" s="1"/>
      <c r="E1086" s="1"/>
      <c r="F1086" s="1"/>
      <c r="G1086" s="98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5.75" customHeight="1" x14ac:dyDescent="0.25">
      <c r="A1087" s="1"/>
      <c r="B1087" s="100"/>
      <c r="C1087" s="22"/>
      <c r="D1087" s="1"/>
      <c r="E1087" s="1"/>
      <c r="F1087" s="1"/>
      <c r="G1087" s="98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5.75" customHeight="1" x14ac:dyDescent="0.25">
      <c r="A1088" s="1"/>
      <c r="B1088" s="100"/>
      <c r="C1088" s="22"/>
      <c r="D1088" s="1"/>
      <c r="E1088" s="1"/>
      <c r="F1088" s="1"/>
      <c r="G1088" s="98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5.75" customHeight="1" x14ac:dyDescent="0.25">
      <c r="A1089" s="1"/>
      <c r="B1089" s="100"/>
      <c r="C1089" s="22"/>
      <c r="D1089" s="1"/>
      <c r="E1089" s="1"/>
      <c r="F1089" s="1"/>
      <c r="G1089" s="98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.75" customHeight="1" x14ac:dyDescent="0.25">
      <c r="A1090" s="1"/>
      <c r="B1090" s="100"/>
      <c r="C1090" s="22"/>
      <c r="D1090" s="1"/>
      <c r="E1090" s="1"/>
      <c r="F1090" s="1"/>
      <c r="G1090" s="98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.75" customHeight="1" x14ac:dyDescent="0.25">
      <c r="A1091" s="1"/>
      <c r="B1091" s="100"/>
      <c r="C1091" s="22"/>
      <c r="D1091" s="1"/>
      <c r="E1091" s="1"/>
      <c r="F1091" s="1"/>
      <c r="G1091" s="98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5.75" customHeight="1" x14ac:dyDescent="0.25">
      <c r="A1092" s="1"/>
      <c r="B1092" s="100"/>
      <c r="C1092" s="22"/>
      <c r="D1092" s="1"/>
      <c r="E1092" s="1"/>
      <c r="F1092" s="1"/>
      <c r="G1092" s="98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5.75" customHeight="1" x14ac:dyDescent="0.25">
      <c r="A1093" s="1"/>
      <c r="B1093" s="100"/>
      <c r="C1093" s="22"/>
      <c r="D1093" s="1"/>
      <c r="E1093" s="1"/>
      <c r="F1093" s="1"/>
      <c r="G1093" s="98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5.75" customHeight="1" x14ac:dyDescent="0.25">
      <c r="A1094" s="1"/>
      <c r="B1094" s="100"/>
      <c r="C1094" s="22"/>
      <c r="D1094" s="1"/>
      <c r="E1094" s="1"/>
      <c r="F1094" s="1"/>
      <c r="G1094" s="98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5.75" customHeight="1" x14ac:dyDescent="0.25">
      <c r="A1095" s="1"/>
      <c r="B1095" s="100"/>
      <c r="C1095" s="22"/>
      <c r="D1095" s="1"/>
      <c r="E1095" s="1"/>
      <c r="F1095" s="1"/>
      <c r="G1095" s="98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5.75" customHeight="1" x14ac:dyDescent="0.25">
      <c r="A1096" s="1"/>
      <c r="B1096" s="100"/>
      <c r="C1096" s="22"/>
      <c r="D1096" s="1"/>
      <c r="E1096" s="1"/>
      <c r="F1096" s="1"/>
      <c r="G1096" s="98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5.75" customHeight="1" x14ac:dyDescent="0.25">
      <c r="A1097" s="1"/>
      <c r="B1097" s="100"/>
      <c r="C1097" s="22"/>
      <c r="D1097" s="1"/>
      <c r="E1097" s="1"/>
      <c r="F1097" s="1"/>
      <c r="G1097" s="98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5.75" customHeight="1" x14ac:dyDescent="0.25">
      <c r="A1098" s="1"/>
      <c r="B1098" s="100"/>
      <c r="C1098" s="22"/>
      <c r="D1098" s="1"/>
      <c r="E1098" s="1"/>
      <c r="F1098" s="1"/>
      <c r="G1098" s="98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5.75" customHeight="1" x14ac:dyDescent="0.25">
      <c r="A1099" s="1"/>
      <c r="B1099" s="100"/>
      <c r="C1099" s="22"/>
      <c r="D1099" s="1"/>
      <c r="E1099" s="1"/>
      <c r="F1099" s="1"/>
      <c r="G1099" s="98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5.75" customHeight="1" x14ac:dyDescent="0.25">
      <c r="A1100" s="1"/>
      <c r="B1100" s="100"/>
      <c r="C1100" s="22"/>
      <c r="D1100" s="1"/>
      <c r="E1100" s="1"/>
      <c r="F1100" s="1"/>
      <c r="G1100" s="98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5.75" customHeight="1" x14ac:dyDescent="0.25">
      <c r="A1101" s="1"/>
      <c r="B1101" s="100"/>
      <c r="C1101" s="22"/>
      <c r="D1101" s="1"/>
      <c r="E1101" s="1"/>
      <c r="F1101" s="1"/>
      <c r="G1101" s="98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5.75" customHeight="1" x14ac:dyDescent="0.25">
      <c r="A1102" s="1"/>
      <c r="B1102" s="100"/>
      <c r="C1102" s="22"/>
      <c r="D1102" s="1"/>
      <c r="E1102" s="1"/>
      <c r="F1102" s="1"/>
      <c r="G1102" s="98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5.75" customHeight="1" x14ac:dyDescent="0.25">
      <c r="A1103" s="1"/>
      <c r="B1103" s="100"/>
      <c r="C1103" s="22"/>
      <c r="D1103" s="1"/>
      <c r="E1103" s="1"/>
      <c r="F1103" s="1"/>
      <c r="G1103" s="98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5.75" customHeight="1" x14ac:dyDescent="0.25">
      <c r="A1104" s="1"/>
      <c r="B1104" s="100"/>
      <c r="C1104" s="22"/>
      <c r="D1104" s="1"/>
      <c r="E1104" s="1"/>
      <c r="F1104" s="1"/>
      <c r="G1104" s="98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5.75" customHeight="1" x14ac:dyDescent="0.25">
      <c r="A1105" s="1"/>
      <c r="B1105" s="100"/>
      <c r="C1105" s="22"/>
      <c r="D1105" s="1"/>
      <c r="E1105" s="1"/>
      <c r="F1105" s="1"/>
      <c r="G1105" s="98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5.75" customHeight="1" x14ac:dyDescent="0.25">
      <c r="A1106" s="1"/>
      <c r="B1106" s="100"/>
      <c r="C1106" s="22"/>
      <c r="D1106" s="1"/>
      <c r="E1106" s="1"/>
      <c r="F1106" s="1"/>
      <c r="G1106" s="98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5.75" customHeight="1" x14ac:dyDescent="0.25">
      <c r="A1107" s="1"/>
      <c r="B1107" s="100"/>
      <c r="C1107" s="22"/>
      <c r="D1107" s="1"/>
      <c r="E1107" s="1"/>
      <c r="F1107" s="1"/>
      <c r="G1107" s="98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5.75" customHeight="1" x14ac:dyDescent="0.25">
      <c r="A1108" s="1"/>
      <c r="B1108" s="100"/>
      <c r="C1108" s="22"/>
      <c r="D1108" s="1"/>
      <c r="E1108" s="1"/>
      <c r="F1108" s="1"/>
      <c r="G1108" s="98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5.75" customHeight="1" x14ac:dyDescent="0.25">
      <c r="A1109" s="1"/>
      <c r="B1109" s="100"/>
      <c r="C1109" s="22"/>
      <c r="D1109" s="1"/>
      <c r="E1109" s="1"/>
      <c r="F1109" s="1"/>
      <c r="G1109" s="98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5.75" customHeight="1" x14ac:dyDescent="0.25">
      <c r="A1110" s="1"/>
      <c r="B1110" s="100"/>
      <c r="C1110" s="22"/>
      <c r="D1110" s="1"/>
      <c r="E1110" s="1"/>
      <c r="F1110" s="1"/>
      <c r="G1110" s="98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5.75" customHeight="1" x14ac:dyDescent="0.25">
      <c r="A1111" s="1"/>
      <c r="B1111" s="100"/>
      <c r="C1111" s="22"/>
      <c r="D1111" s="1"/>
      <c r="E1111" s="1"/>
      <c r="F1111" s="1"/>
      <c r="G1111" s="98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5.75" customHeight="1" x14ac:dyDescent="0.25">
      <c r="A1112" s="1"/>
      <c r="B1112" s="100"/>
      <c r="C1112" s="22"/>
      <c r="D1112" s="1"/>
      <c r="E1112" s="1"/>
      <c r="F1112" s="1"/>
      <c r="G1112" s="98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5.75" customHeight="1" x14ac:dyDescent="0.25">
      <c r="A1113" s="1"/>
      <c r="B1113" s="100"/>
      <c r="C1113" s="22"/>
      <c r="D1113" s="1"/>
      <c r="E1113" s="1"/>
      <c r="F1113" s="1"/>
      <c r="G1113" s="98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5.75" customHeight="1" x14ac:dyDescent="0.25">
      <c r="A1114" s="1"/>
      <c r="B1114" s="100"/>
      <c r="C1114" s="22"/>
      <c r="D1114" s="1"/>
      <c r="E1114" s="1"/>
      <c r="F1114" s="1"/>
      <c r="G1114" s="98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5.75" customHeight="1" x14ac:dyDescent="0.25">
      <c r="A1115" s="1"/>
      <c r="B1115" s="100"/>
      <c r="C1115" s="22"/>
      <c r="D1115" s="1"/>
      <c r="E1115" s="1"/>
      <c r="F1115" s="1"/>
      <c r="G1115" s="98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5.75" customHeight="1" x14ac:dyDescent="0.25">
      <c r="A1116" s="1"/>
      <c r="B1116" s="100"/>
      <c r="C1116" s="22"/>
      <c r="D1116" s="1"/>
      <c r="E1116" s="1"/>
      <c r="F1116" s="1"/>
      <c r="G1116" s="98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5.75" customHeight="1" x14ac:dyDescent="0.25">
      <c r="A1117" s="1"/>
      <c r="B1117" s="100"/>
      <c r="C1117" s="22"/>
      <c r="D1117" s="1"/>
      <c r="E1117" s="1"/>
      <c r="F1117" s="1"/>
      <c r="G1117" s="98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5.75" customHeight="1" x14ac:dyDescent="0.25">
      <c r="A1118" s="1"/>
      <c r="B1118" s="100"/>
      <c r="C1118" s="22"/>
      <c r="D1118" s="1"/>
      <c r="E1118" s="1"/>
      <c r="F1118" s="1"/>
      <c r="G1118" s="98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5.75" customHeight="1" x14ac:dyDescent="0.25">
      <c r="A1119" s="1"/>
      <c r="B1119" s="100"/>
      <c r="C1119" s="22"/>
      <c r="D1119" s="1"/>
      <c r="E1119" s="1"/>
      <c r="F1119" s="1"/>
      <c r="G1119" s="98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5.75" customHeight="1" x14ac:dyDescent="0.25">
      <c r="A1120" s="1"/>
      <c r="B1120" s="100"/>
      <c r="C1120" s="22"/>
      <c r="D1120" s="1"/>
      <c r="E1120" s="1"/>
      <c r="F1120" s="1"/>
      <c r="G1120" s="98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5.75" customHeight="1" x14ac:dyDescent="0.25">
      <c r="A1121" s="1"/>
      <c r="B1121" s="100"/>
      <c r="C1121" s="22"/>
      <c r="D1121" s="1"/>
      <c r="E1121" s="1"/>
      <c r="F1121" s="1"/>
      <c r="G1121" s="98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5.75" customHeight="1" x14ac:dyDescent="0.25">
      <c r="A1122" s="1"/>
      <c r="B1122" s="100"/>
      <c r="C1122" s="22"/>
      <c r="D1122" s="1"/>
      <c r="E1122" s="1"/>
      <c r="F1122" s="1"/>
      <c r="G1122" s="98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5.75" customHeight="1" x14ac:dyDescent="0.25">
      <c r="A1123" s="1"/>
      <c r="B1123" s="100"/>
      <c r="C1123" s="22"/>
      <c r="D1123" s="1"/>
      <c r="E1123" s="1"/>
      <c r="F1123" s="1"/>
      <c r="G1123" s="98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5.75" customHeight="1" x14ac:dyDescent="0.25">
      <c r="A1124" s="1"/>
      <c r="B1124" s="100"/>
      <c r="C1124" s="22"/>
      <c r="D1124" s="1"/>
      <c r="E1124" s="1"/>
      <c r="F1124" s="1"/>
      <c r="G1124" s="98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5.75" customHeight="1" x14ac:dyDescent="0.25">
      <c r="A1125" s="1"/>
      <c r="B1125" s="100"/>
      <c r="C1125" s="22"/>
      <c r="D1125" s="1"/>
      <c r="E1125" s="1"/>
      <c r="F1125" s="1"/>
      <c r="G1125" s="98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5.75" customHeight="1" x14ac:dyDescent="0.25">
      <c r="A1126" s="1"/>
      <c r="B1126" s="100"/>
      <c r="C1126" s="22"/>
      <c r="D1126" s="1"/>
      <c r="E1126" s="1"/>
      <c r="F1126" s="1"/>
      <c r="G1126" s="98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5.75" customHeight="1" x14ac:dyDescent="0.25">
      <c r="A1127" s="1"/>
      <c r="B1127" s="100"/>
      <c r="C1127" s="22"/>
      <c r="D1127" s="1"/>
      <c r="E1127" s="1"/>
      <c r="F1127" s="1"/>
      <c r="G1127" s="98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5.75" customHeight="1" x14ac:dyDescent="0.25">
      <c r="A1128" s="1"/>
      <c r="B1128" s="100"/>
      <c r="C1128" s="22"/>
      <c r="D1128" s="1"/>
      <c r="E1128" s="1"/>
      <c r="F1128" s="1"/>
      <c r="G1128" s="98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5.75" customHeight="1" x14ac:dyDescent="0.25">
      <c r="A1129" s="1"/>
      <c r="B1129" s="100"/>
      <c r="C1129" s="22"/>
      <c r="D1129" s="1"/>
      <c r="E1129" s="1"/>
      <c r="F1129" s="1"/>
      <c r="G1129" s="98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5.75" customHeight="1" x14ac:dyDescent="0.25">
      <c r="A1130" s="1"/>
      <c r="B1130" s="100"/>
      <c r="C1130" s="22"/>
      <c r="D1130" s="1"/>
      <c r="E1130" s="1"/>
      <c r="F1130" s="1"/>
      <c r="G1130" s="98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5.75" customHeight="1" x14ac:dyDescent="0.25">
      <c r="A1131" s="1"/>
      <c r="B1131" s="100"/>
      <c r="C1131" s="22"/>
      <c r="D1131" s="1"/>
      <c r="E1131" s="1"/>
      <c r="F1131" s="1"/>
      <c r="G1131" s="98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5.75" customHeight="1" x14ac:dyDescent="0.25">
      <c r="A1132" s="1"/>
      <c r="B1132" s="100"/>
      <c r="C1132" s="22"/>
      <c r="D1132" s="1"/>
      <c r="E1132" s="1"/>
      <c r="F1132" s="1"/>
      <c r="G1132" s="98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5.75" customHeight="1" x14ac:dyDescent="0.25">
      <c r="A1133" s="1"/>
      <c r="B1133" s="100"/>
      <c r="C1133" s="22"/>
      <c r="D1133" s="1"/>
      <c r="E1133" s="1"/>
      <c r="F1133" s="1"/>
      <c r="G1133" s="98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5.75" customHeight="1" x14ac:dyDescent="0.25">
      <c r="A1134" s="1"/>
      <c r="B1134" s="100"/>
      <c r="C1134" s="22"/>
      <c r="D1134" s="1"/>
      <c r="E1134" s="1"/>
      <c r="F1134" s="1"/>
      <c r="G1134" s="98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5.75" customHeight="1" x14ac:dyDescent="0.25">
      <c r="A1135" s="1"/>
      <c r="B1135" s="100"/>
      <c r="C1135" s="22"/>
      <c r="D1135" s="1"/>
      <c r="E1135" s="1"/>
      <c r="F1135" s="1"/>
      <c r="G1135" s="98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5.75" customHeight="1" x14ac:dyDescent="0.25">
      <c r="A1136" s="1"/>
      <c r="B1136" s="100"/>
      <c r="C1136" s="22"/>
      <c r="D1136" s="1"/>
      <c r="E1136" s="1"/>
      <c r="F1136" s="1"/>
      <c r="G1136" s="98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5.75" customHeight="1" x14ac:dyDescent="0.25">
      <c r="A1137" s="1"/>
      <c r="B1137" s="100"/>
      <c r="C1137" s="22"/>
      <c r="D1137" s="1"/>
      <c r="E1137" s="1"/>
      <c r="F1137" s="1"/>
      <c r="G1137" s="98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5.75" customHeight="1" x14ac:dyDescent="0.25">
      <c r="A1138" s="1"/>
      <c r="B1138" s="100"/>
      <c r="C1138" s="22"/>
      <c r="D1138" s="1"/>
      <c r="E1138" s="1"/>
      <c r="F1138" s="1"/>
      <c r="G1138" s="98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5.75" customHeight="1" x14ac:dyDescent="0.25">
      <c r="A1139" s="1"/>
      <c r="B1139" s="100"/>
      <c r="C1139" s="22"/>
      <c r="D1139" s="1"/>
      <c r="E1139" s="1"/>
      <c r="F1139" s="1"/>
      <c r="G1139" s="98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5.75" customHeight="1" x14ac:dyDescent="0.25">
      <c r="A1140" s="1"/>
      <c r="B1140" s="100"/>
      <c r="C1140" s="22"/>
      <c r="D1140" s="1"/>
      <c r="E1140" s="1"/>
      <c r="F1140" s="1"/>
      <c r="G1140" s="98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5.75" customHeight="1" x14ac:dyDescent="0.25">
      <c r="A1141" s="1"/>
      <c r="B1141" s="100"/>
      <c r="C1141" s="22"/>
      <c r="D1141" s="1"/>
      <c r="E1141" s="1"/>
      <c r="F1141" s="1"/>
      <c r="G1141" s="98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5.75" customHeight="1" x14ac:dyDescent="0.25">
      <c r="A1142" s="1"/>
      <c r="B1142" s="100"/>
      <c r="C1142" s="22"/>
      <c r="D1142" s="1"/>
      <c r="E1142" s="1"/>
      <c r="F1142" s="1"/>
      <c r="G1142" s="98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5.75" customHeight="1" x14ac:dyDescent="0.25">
      <c r="A1143" s="1"/>
      <c r="B1143" s="100"/>
      <c r="C1143" s="22"/>
      <c r="D1143" s="1"/>
      <c r="E1143" s="1"/>
      <c r="F1143" s="1"/>
      <c r="G1143" s="98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5.75" customHeight="1" x14ac:dyDescent="0.25">
      <c r="A1144" s="1"/>
      <c r="B1144" s="100"/>
      <c r="C1144" s="22"/>
      <c r="D1144" s="1"/>
      <c r="E1144" s="1"/>
      <c r="F1144" s="1"/>
      <c r="G1144" s="98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5.75" customHeight="1" x14ac:dyDescent="0.25">
      <c r="A1145" s="1"/>
      <c r="B1145" s="100"/>
      <c r="C1145" s="22"/>
      <c r="D1145" s="1"/>
      <c r="E1145" s="1"/>
      <c r="F1145" s="1"/>
      <c r="G1145" s="98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5.75" customHeight="1" x14ac:dyDescent="0.25">
      <c r="A1146" s="1"/>
      <c r="B1146" s="100"/>
      <c r="C1146" s="22"/>
      <c r="D1146" s="1"/>
      <c r="E1146" s="1"/>
      <c r="F1146" s="1"/>
      <c r="G1146" s="98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5.75" customHeight="1" x14ac:dyDescent="0.25">
      <c r="A1147" s="1"/>
      <c r="B1147" s="100"/>
      <c r="C1147" s="22"/>
      <c r="D1147" s="1"/>
      <c r="E1147" s="1"/>
      <c r="F1147" s="1"/>
      <c r="G1147" s="98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5.75" customHeight="1" x14ac:dyDescent="0.25">
      <c r="A1148" s="1"/>
      <c r="B1148" s="100"/>
      <c r="C1148" s="22"/>
      <c r="D1148" s="1"/>
      <c r="E1148" s="1"/>
      <c r="F1148" s="1"/>
      <c r="G1148" s="98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5.75" customHeight="1" x14ac:dyDescent="0.25">
      <c r="A1149" s="1"/>
      <c r="B1149" s="100"/>
      <c r="C1149" s="22"/>
      <c r="D1149" s="1"/>
      <c r="E1149" s="1"/>
      <c r="F1149" s="1"/>
      <c r="G1149" s="98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5.75" customHeight="1" x14ac:dyDescent="0.25">
      <c r="A1150" s="1"/>
      <c r="B1150" s="100"/>
      <c r="C1150" s="22"/>
      <c r="D1150" s="1"/>
      <c r="E1150" s="1"/>
      <c r="F1150" s="1"/>
      <c r="G1150" s="98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5.75" customHeight="1" x14ac:dyDescent="0.25">
      <c r="A1151" s="1"/>
      <c r="B1151" s="100"/>
      <c r="C1151" s="22"/>
      <c r="D1151" s="1"/>
      <c r="E1151" s="1"/>
      <c r="F1151" s="1"/>
      <c r="G1151" s="98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5.75" customHeight="1" x14ac:dyDescent="0.25">
      <c r="A1152" s="1"/>
      <c r="B1152" s="100"/>
      <c r="C1152" s="22"/>
      <c r="D1152" s="1"/>
      <c r="E1152" s="1"/>
      <c r="F1152" s="1"/>
      <c r="G1152" s="98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5.75" customHeight="1" x14ac:dyDescent="0.25">
      <c r="A1153" s="1"/>
      <c r="B1153" s="100"/>
      <c r="C1153" s="22"/>
      <c r="D1153" s="1"/>
      <c r="E1153" s="1"/>
      <c r="F1153" s="1"/>
      <c r="G1153" s="98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5.75" customHeight="1" x14ac:dyDescent="0.25">
      <c r="A1154" s="1"/>
      <c r="B1154" s="100"/>
      <c r="C1154" s="22"/>
      <c r="D1154" s="1"/>
      <c r="E1154" s="1"/>
      <c r="F1154" s="1"/>
      <c r="G1154" s="98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5.75" customHeight="1" x14ac:dyDescent="0.25">
      <c r="A1155" s="1"/>
      <c r="B1155" s="100"/>
      <c r="C1155" s="22"/>
      <c r="D1155" s="1"/>
      <c r="E1155" s="1"/>
      <c r="F1155" s="1"/>
      <c r="G1155" s="98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5.75" customHeight="1" x14ac:dyDescent="0.25">
      <c r="A1156" s="1"/>
      <c r="B1156" s="100"/>
      <c r="C1156" s="22"/>
      <c r="D1156" s="1"/>
      <c r="E1156" s="1"/>
      <c r="F1156" s="1"/>
      <c r="G1156" s="98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5.75" customHeight="1" x14ac:dyDescent="0.25">
      <c r="A1157" s="1"/>
      <c r="B1157" s="100"/>
      <c r="C1157" s="22"/>
      <c r="D1157" s="1"/>
      <c r="E1157" s="1"/>
      <c r="F1157" s="1"/>
      <c r="G1157" s="98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5.75" customHeight="1" x14ac:dyDescent="0.25">
      <c r="A1158" s="1"/>
      <c r="B1158" s="100"/>
      <c r="C1158" s="22"/>
      <c r="D1158" s="1"/>
      <c r="E1158" s="1"/>
      <c r="F1158" s="1"/>
      <c r="G1158" s="98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5.75" customHeight="1" x14ac:dyDescent="0.25">
      <c r="A1159" s="1"/>
      <c r="B1159" s="100"/>
      <c r="C1159" s="22"/>
      <c r="D1159" s="1"/>
      <c r="E1159" s="1"/>
      <c r="F1159" s="1"/>
      <c r="G1159" s="98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5.75" customHeight="1" x14ac:dyDescent="0.25">
      <c r="A1160" s="1"/>
      <c r="B1160" s="100"/>
      <c r="C1160" s="22"/>
      <c r="D1160" s="1"/>
      <c r="E1160" s="1"/>
      <c r="F1160" s="1"/>
      <c r="G1160" s="98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5.75" customHeight="1" x14ac:dyDescent="0.25">
      <c r="A1161" s="1"/>
      <c r="B1161" s="100"/>
      <c r="C1161" s="22"/>
      <c r="D1161" s="1"/>
      <c r="E1161" s="1"/>
      <c r="F1161" s="1"/>
      <c r="G1161" s="98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5.75" customHeight="1" x14ac:dyDescent="0.25">
      <c r="A1162" s="1"/>
      <c r="B1162" s="100"/>
      <c r="C1162" s="22"/>
      <c r="D1162" s="1"/>
      <c r="E1162" s="1"/>
      <c r="F1162" s="1"/>
      <c r="G1162" s="98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5.75" customHeight="1" x14ac:dyDescent="0.25">
      <c r="A1163" s="1"/>
      <c r="B1163" s="100"/>
      <c r="C1163" s="22"/>
      <c r="D1163" s="1"/>
      <c r="E1163" s="1"/>
      <c r="F1163" s="1"/>
      <c r="G1163" s="98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5.75" customHeight="1" x14ac:dyDescent="0.25">
      <c r="A1164" s="1"/>
      <c r="B1164" s="100"/>
      <c r="C1164" s="22"/>
      <c r="D1164" s="1"/>
      <c r="E1164" s="1"/>
      <c r="F1164" s="1"/>
      <c r="G1164" s="98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5.75" customHeight="1" x14ac:dyDescent="0.25">
      <c r="A1165" s="1"/>
      <c r="B1165" s="100"/>
      <c r="C1165" s="22"/>
      <c r="D1165" s="1"/>
      <c r="E1165" s="1"/>
      <c r="F1165" s="1"/>
      <c r="G1165" s="98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5.75" customHeight="1" x14ac:dyDescent="0.25">
      <c r="A1166" s="1"/>
      <c r="B1166" s="100"/>
      <c r="C1166" s="22"/>
      <c r="D1166" s="1"/>
      <c r="E1166" s="1"/>
      <c r="F1166" s="1"/>
      <c r="G1166" s="98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5.75" customHeight="1" x14ac:dyDescent="0.25">
      <c r="A1167" s="1"/>
      <c r="B1167" s="100"/>
      <c r="C1167" s="22"/>
      <c r="D1167" s="1"/>
      <c r="E1167" s="1"/>
      <c r="F1167" s="1"/>
      <c r="G1167" s="98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5.75" customHeight="1" x14ac:dyDescent="0.25">
      <c r="A1168" s="1"/>
      <c r="B1168" s="100"/>
      <c r="C1168" s="22"/>
      <c r="D1168" s="1"/>
      <c r="E1168" s="1"/>
      <c r="F1168" s="1"/>
      <c r="G1168" s="98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5.75" customHeight="1" x14ac:dyDescent="0.25">
      <c r="A1169" s="1"/>
      <c r="B1169" s="100"/>
      <c r="C1169" s="22"/>
      <c r="D1169" s="1"/>
      <c r="E1169" s="1"/>
      <c r="F1169" s="1"/>
      <c r="G1169" s="98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5.75" customHeight="1" x14ac:dyDescent="0.25">
      <c r="A1170" s="1"/>
      <c r="B1170" s="100"/>
      <c r="C1170" s="22"/>
      <c r="D1170" s="1"/>
      <c r="E1170" s="1"/>
      <c r="F1170" s="1"/>
      <c r="G1170" s="98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5.75" customHeight="1" x14ac:dyDescent="0.25">
      <c r="A1171" s="1"/>
      <c r="B1171" s="100"/>
      <c r="C1171" s="22"/>
      <c r="D1171" s="1"/>
      <c r="E1171" s="1"/>
      <c r="F1171" s="1"/>
      <c r="G1171" s="98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5.75" customHeight="1" x14ac:dyDescent="0.25">
      <c r="A1172" s="1"/>
      <c r="B1172" s="100"/>
      <c r="C1172" s="22"/>
      <c r="D1172" s="1"/>
      <c r="E1172" s="1"/>
      <c r="F1172" s="1"/>
      <c r="G1172" s="98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5.75" customHeight="1" x14ac:dyDescent="0.25">
      <c r="A1173" s="1"/>
      <c r="B1173" s="100"/>
      <c r="C1173" s="22"/>
      <c r="D1173" s="1"/>
      <c r="E1173" s="1"/>
      <c r="F1173" s="1"/>
      <c r="G1173" s="98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5.75" customHeight="1" x14ac:dyDescent="0.25">
      <c r="A1174" s="1"/>
      <c r="B1174" s="100"/>
      <c r="C1174" s="22"/>
      <c r="D1174" s="1"/>
      <c r="E1174" s="1"/>
      <c r="F1174" s="1"/>
      <c r="G1174" s="98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5.75" customHeight="1" x14ac:dyDescent="0.25">
      <c r="A1175" s="1"/>
      <c r="B1175" s="100"/>
      <c r="C1175" s="22"/>
      <c r="D1175" s="1"/>
      <c r="E1175" s="1"/>
      <c r="F1175" s="1"/>
      <c r="G1175" s="98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5.75" customHeight="1" x14ac:dyDescent="0.25">
      <c r="A1176" s="1"/>
      <c r="B1176" s="100"/>
      <c r="C1176" s="22"/>
      <c r="D1176" s="1"/>
      <c r="E1176" s="1"/>
      <c r="F1176" s="1"/>
      <c r="G1176" s="98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5.75" customHeight="1" x14ac:dyDescent="0.25">
      <c r="A1177" s="1"/>
      <c r="B1177" s="100"/>
      <c r="C1177" s="22"/>
      <c r="D1177" s="1"/>
      <c r="E1177" s="1"/>
      <c r="F1177" s="1"/>
      <c r="G1177" s="98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5.75" customHeight="1" x14ac:dyDescent="0.25">
      <c r="A1178" s="1"/>
      <c r="B1178" s="100"/>
      <c r="C1178" s="22"/>
      <c r="D1178" s="1"/>
      <c r="E1178" s="1"/>
      <c r="F1178" s="1"/>
      <c r="G1178" s="98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5.75" customHeight="1" x14ac:dyDescent="0.25">
      <c r="A1179" s="1"/>
      <c r="B1179" s="100"/>
      <c r="C1179" s="22"/>
      <c r="D1179" s="1"/>
      <c r="E1179" s="1"/>
      <c r="F1179" s="1"/>
      <c r="G1179" s="98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5.75" customHeight="1" x14ac:dyDescent="0.25">
      <c r="A1180" s="1"/>
      <c r="B1180" s="100"/>
      <c r="C1180" s="22"/>
      <c r="D1180" s="1"/>
      <c r="E1180" s="1"/>
      <c r="F1180" s="1"/>
      <c r="G1180" s="98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5.75" customHeight="1" x14ac:dyDescent="0.25">
      <c r="A1181" s="1"/>
      <c r="B1181" s="100"/>
      <c r="C1181" s="22"/>
      <c r="D1181" s="1"/>
      <c r="E1181" s="1"/>
      <c r="F1181" s="1"/>
      <c r="G1181" s="98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5.75" customHeight="1" x14ac:dyDescent="0.25">
      <c r="A1182" s="1"/>
      <c r="B1182" s="100"/>
      <c r="C1182" s="22"/>
      <c r="D1182" s="1"/>
      <c r="E1182" s="1"/>
      <c r="F1182" s="1"/>
      <c r="G1182" s="98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5.75" customHeight="1" x14ac:dyDescent="0.25">
      <c r="A1183" s="1"/>
      <c r="B1183" s="100"/>
      <c r="C1183" s="22"/>
      <c r="D1183" s="1"/>
      <c r="E1183" s="1"/>
      <c r="F1183" s="1"/>
      <c r="G1183" s="98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5.75" customHeight="1" x14ac:dyDescent="0.25">
      <c r="A1184" s="1"/>
      <c r="B1184" s="100"/>
      <c r="C1184" s="22"/>
      <c r="D1184" s="1"/>
      <c r="E1184" s="1"/>
      <c r="F1184" s="1"/>
      <c r="G1184" s="98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5.75" customHeight="1" x14ac:dyDescent="0.25">
      <c r="A1185" s="1"/>
      <c r="B1185" s="100"/>
      <c r="C1185" s="22"/>
      <c r="D1185" s="1"/>
      <c r="E1185" s="1"/>
      <c r="F1185" s="1"/>
      <c r="G1185" s="98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5.75" customHeight="1" x14ac:dyDescent="0.25">
      <c r="A1186" s="1"/>
      <c r="B1186" s="100"/>
      <c r="C1186" s="22"/>
      <c r="D1186" s="1"/>
      <c r="E1186" s="1"/>
      <c r="F1186" s="1"/>
      <c r="G1186" s="98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5.75" customHeight="1" x14ac:dyDescent="0.25">
      <c r="A1187" s="1"/>
      <c r="B1187" s="100"/>
      <c r="C1187" s="22"/>
      <c r="D1187" s="1"/>
      <c r="E1187" s="1"/>
      <c r="F1187" s="1"/>
      <c r="G1187" s="98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5.75" customHeight="1" x14ac:dyDescent="0.25">
      <c r="A1188" s="1"/>
      <c r="B1188" s="100"/>
      <c r="C1188" s="22"/>
      <c r="D1188" s="1"/>
      <c r="E1188" s="1"/>
      <c r="F1188" s="1"/>
      <c r="G1188" s="98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5.75" customHeight="1" x14ac:dyDescent="0.25">
      <c r="A1189" s="1"/>
      <c r="B1189" s="100"/>
      <c r="C1189" s="22"/>
      <c r="D1189" s="1"/>
      <c r="E1189" s="1"/>
      <c r="F1189" s="1"/>
      <c r="G1189" s="98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5.75" customHeight="1" x14ac:dyDescent="0.25">
      <c r="A1190" s="1"/>
      <c r="B1190" s="100"/>
      <c r="C1190" s="22"/>
      <c r="D1190" s="1"/>
      <c r="E1190" s="1"/>
      <c r="F1190" s="1"/>
      <c r="G1190" s="98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5.75" customHeight="1" x14ac:dyDescent="0.25">
      <c r="A1191" s="1"/>
      <c r="B1191" s="100"/>
      <c r="C1191" s="22"/>
      <c r="D1191" s="1"/>
      <c r="E1191" s="1"/>
      <c r="F1191" s="1"/>
      <c r="G1191" s="98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5.75" customHeight="1" x14ac:dyDescent="0.25">
      <c r="A1192" s="1"/>
      <c r="B1192" s="100"/>
      <c r="C1192" s="22"/>
      <c r="D1192" s="1"/>
      <c r="E1192" s="1"/>
      <c r="F1192" s="1"/>
      <c r="G1192" s="98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5.75" customHeight="1" x14ac:dyDescent="0.25">
      <c r="A1193" s="1"/>
      <c r="B1193" s="100"/>
      <c r="C1193" s="22"/>
      <c r="D1193" s="1"/>
      <c r="E1193" s="1"/>
      <c r="F1193" s="1"/>
      <c r="G1193" s="98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5.75" customHeight="1" x14ac:dyDescent="0.25">
      <c r="A1194" s="1"/>
      <c r="B1194" s="100"/>
      <c r="C1194" s="22"/>
      <c r="D1194" s="1"/>
      <c r="E1194" s="1"/>
      <c r="F1194" s="1"/>
      <c r="G1194" s="98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5.75" customHeight="1" x14ac:dyDescent="0.25">
      <c r="A1195" s="1"/>
      <c r="B1195" s="100"/>
      <c r="C1195" s="22"/>
      <c r="D1195" s="1"/>
      <c r="E1195" s="1"/>
      <c r="F1195" s="1"/>
      <c r="G1195" s="98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5.75" customHeight="1" x14ac:dyDescent="0.25">
      <c r="A1196" s="1"/>
      <c r="B1196" s="100"/>
      <c r="C1196" s="22"/>
      <c r="D1196" s="1"/>
      <c r="E1196" s="1"/>
      <c r="F1196" s="1"/>
      <c r="G1196" s="98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5.75" customHeight="1" x14ac:dyDescent="0.25">
      <c r="A1197" s="1"/>
      <c r="B1197" s="100"/>
      <c r="C1197" s="22"/>
      <c r="D1197" s="1"/>
      <c r="E1197" s="1"/>
      <c r="F1197" s="1"/>
      <c r="G1197" s="98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5.75" customHeight="1" x14ac:dyDescent="0.25">
      <c r="A1198" s="1"/>
      <c r="B1198" s="100"/>
      <c r="C1198" s="22"/>
      <c r="D1198" s="1"/>
      <c r="E1198" s="1"/>
      <c r="F1198" s="1"/>
      <c r="G1198" s="98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5.75" customHeight="1" x14ac:dyDescent="0.25">
      <c r="A1199" s="1"/>
      <c r="B1199" s="100"/>
      <c r="C1199" s="22"/>
      <c r="D1199" s="1"/>
      <c r="E1199" s="1"/>
      <c r="F1199" s="1"/>
      <c r="G1199" s="98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5.75" customHeight="1" x14ac:dyDescent="0.25">
      <c r="A1200" s="1"/>
      <c r="B1200" s="100"/>
      <c r="C1200" s="22"/>
      <c r="D1200" s="1"/>
      <c r="E1200" s="1"/>
      <c r="F1200" s="1"/>
      <c r="G1200" s="98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5.75" customHeight="1" x14ac:dyDescent="0.25">
      <c r="A1201" s="1"/>
      <c r="B1201" s="100"/>
      <c r="C1201" s="22"/>
      <c r="D1201" s="1"/>
      <c r="E1201" s="1"/>
      <c r="F1201" s="1"/>
      <c r="G1201" s="98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5.75" customHeight="1" x14ac:dyDescent="0.25">
      <c r="A1202" s="1"/>
      <c r="B1202" s="100"/>
      <c r="C1202" s="22"/>
      <c r="D1202" s="1"/>
      <c r="E1202" s="1"/>
      <c r="F1202" s="1"/>
      <c r="G1202" s="98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5.75" customHeight="1" x14ac:dyDescent="0.25">
      <c r="A1203" s="1"/>
      <c r="B1203" s="100"/>
      <c r="C1203" s="22"/>
      <c r="D1203" s="1"/>
      <c r="E1203" s="1"/>
      <c r="F1203" s="1"/>
      <c r="G1203" s="98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5.75" customHeight="1" x14ac:dyDescent="0.25">
      <c r="A1204" s="1"/>
      <c r="B1204" s="100"/>
      <c r="C1204" s="22"/>
      <c r="D1204" s="1"/>
      <c r="E1204" s="1"/>
      <c r="F1204" s="1"/>
      <c r="G1204" s="98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5.75" customHeight="1" x14ac:dyDescent="0.25">
      <c r="A1205" s="1"/>
      <c r="B1205" s="100"/>
      <c r="C1205" s="22"/>
      <c r="D1205" s="1"/>
      <c r="E1205" s="1"/>
      <c r="F1205" s="1"/>
      <c r="G1205" s="98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5.75" customHeight="1" x14ac:dyDescent="0.25">
      <c r="A1206" s="1"/>
      <c r="B1206" s="100"/>
      <c r="C1206" s="22"/>
      <c r="D1206" s="1"/>
      <c r="E1206" s="1"/>
      <c r="F1206" s="1"/>
      <c r="G1206" s="98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5.75" customHeight="1" x14ac:dyDescent="0.25">
      <c r="A1207" s="1"/>
      <c r="B1207" s="100"/>
      <c r="C1207" s="22"/>
      <c r="D1207" s="1"/>
      <c r="E1207" s="1"/>
      <c r="F1207" s="1"/>
      <c r="G1207" s="98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5.75" customHeight="1" x14ac:dyDescent="0.25">
      <c r="A1208" s="1"/>
      <c r="B1208" s="100"/>
      <c r="C1208" s="22"/>
      <c r="D1208" s="1"/>
      <c r="E1208" s="1"/>
      <c r="F1208" s="1"/>
      <c r="G1208" s="98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5.75" customHeight="1" x14ac:dyDescent="0.25">
      <c r="A1209" s="1"/>
      <c r="B1209" s="100"/>
      <c r="C1209" s="22"/>
      <c r="D1209" s="1"/>
      <c r="E1209" s="1"/>
      <c r="F1209" s="1"/>
      <c r="G1209" s="98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5.75" customHeight="1" x14ac:dyDescent="0.25">
      <c r="A1210" s="1"/>
      <c r="B1210" s="100"/>
      <c r="C1210" s="22"/>
      <c r="D1210" s="1"/>
      <c r="E1210" s="1"/>
      <c r="F1210" s="1"/>
      <c r="G1210" s="98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5.75" customHeight="1" x14ac:dyDescent="0.25">
      <c r="A1211" s="1"/>
      <c r="B1211" s="100"/>
      <c r="C1211" s="22"/>
      <c r="D1211" s="1"/>
      <c r="E1211" s="1"/>
      <c r="F1211" s="1"/>
      <c r="G1211" s="98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5.75" customHeight="1" x14ac:dyDescent="0.25">
      <c r="A1212" s="1"/>
      <c r="B1212" s="100"/>
      <c r="C1212" s="22"/>
      <c r="D1212" s="1"/>
      <c r="E1212" s="1"/>
      <c r="F1212" s="1"/>
      <c r="G1212" s="98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5.75" customHeight="1" x14ac:dyDescent="0.25">
      <c r="A1213" s="1"/>
      <c r="B1213" s="100"/>
      <c r="C1213" s="22"/>
      <c r="D1213" s="1"/>
      <c r="E1213" s="1"/>
      <c r="F1213" s="1"/>
      <c r="G1213" s="98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5.75" customHeight="1" x14ac:dyDescent="0.25">
      <c r="A1214" s="1"/>
      <c r="B1214" s="100"/>
      <c r="C1214" s="22"/>
      <c r="D1214" s="1"/>
      <c r="E1214" s="1"/>
      <c r="F1214" s="1"/>
      <c r="G1214" s="98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5.75" customHeight="1" x14ac:dyDescent="0.25">
      <c r="A1215" s="1"/>
      <c r="B1215" s="100"/>
      <c r="C1215" s="22"/>
      <c r="D1215" s="1"/>
      <c r="E1215" s="1"/>
      <c r="F1215" s="1"/>
      <c r="G1215" s="98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5.75" customHeight="1" x14ac:dyDescent="0.25">
      <c r="A1216" s="1"/>
      <c r="B1216" s="100"/>
      <c r="C1216" s="22"/>
      <c r="D1216" s="1"/>
      <c r="E1216" s="1"/>
      <c r="F1216" s="1"/>
      <c r="G1216" s="98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5.75" customHeight="1" x14ac:dyDescent="0.25">
      <c r="A1217" s="1"/>
      <c r="B1217" s="100"/>
      <c r="C1217" s="22"/>
      <c r="D1217" s="1"/>
      <c r="E1217" s="1"/>
      <c r="F1217" s="1"/>
      <c r="G1217" s="98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5.75" customHeight="1" x14ac:dyDescent="0.25">
      <c r="A1218" s="1"/>
      <c r="B1218" s="100"/>
      <c r="C1218" s="22"/>
      <c r="D1218" s="1"/>
      <c r="E1218" s="1"/>
      <c r="F1218" s="1"/>
      <c r="G1218" s="98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5.75" customHeight="1" x14ac:dyDescent="0.25">
      <c r="A1219" s="1"/>
      <c r="B1219" s="100"/>
      <c r="C1219" s="22"/>
      <c r="D1219" s="1"/>
      <c r="E1219" s="1"/>
      <c r="F1219" s="1"/>
      <c r="G1219" s="98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5.75" customHeight="1" x14ac:dyDescent="0.25">
      <c r="A1220" s="1"/>
      <c r="B1220" s="100"/>
      <c r="C1220" s="22"/>
      <c r="D1220" s="1"/>
      <c r="E1220" s="1"/>
      <c r="F1220" s="1"/>
      <c r="G1220" s="98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5.75" customHeight="1" x14ac:dyDescent="0.25">
      <c r="A1221" s="1"/>
      <c r="B1221" s="100"/>
      <c r="C1221" s="22"/>
      <c r="D1221" s="1"/>
      <c r="E1221" s="1"/>
      <c r="F1221" s="1"/>
      <c r="G1221" s="98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5.75" customHeight="1" x14ac:dyDescent="0.25">
      <c r="A1222" s="1"/>
      <c r="B1222" s="100"/>
      <c r="C1222" s="22"/>
      <c r="D1222" s="1"/>
      <c r="E1222" s="1"/>
      <c r="F1222" s="1"/>
      <c r="G1222" s="98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5.75" customHeight="1" x14ac:dyDescent="0.25">
      <c r="A1223" s="1"/>
      <c r="B1223" s="100"/>
      <c r="C1223" s="22"/>
      <c r="D1223" s="1"/>
      <c r="E1223" s="1"/>
      <c r="F1223" s="1"/>
      <c r="G1223" s="98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5.75" customHeight="1" x14ac:dyDescent="0.25">
      <c r="A1224" s="1"/>
      <c r="B1224" s="100"/>
      <c r="C1224" s="22"/>
      <c r="D1224" s="1"/>
      <c r="E1224" s="1"/>
      <c r="F1224" s="1"/>
      <c r="G1224" s="98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5.75" customHeight="1" x14ac:dyDescent="0.25">
      <c r="A1225" s="1"/>
      <c r="B1225" s="100"/>
      <c r="C1225" s="22"/>
      <c r="D1225" s="1"/>
      <c r="E1225" s="1"/>
      <c r="F1225" s="1"/>
      <c r="G1225" s="98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5.75" customHeight="1" x14ac:dyDescent="0.25">
      <c r="A1226" s="1"/>
      <c r="B1226" s="100"/>
      <c r="C1226" s="22"/>
      <c r="D1226" s="1"/>
      <c r="E1226" s="1"/>
      <c r="F1226" s="1"/>
      <c r="G1226" s="98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5.75" customHeight="1" x14ac:dyDescent="0.25">
      <c r="A1227" s="1"/>
      <c r="B1227" s="100"/>
      <c r="C1227" s="22"/>
      <c r="D1227" s="1"/>
      <c r="E1227" s="1"/>
      <c r="F1227" s="1"/>
      <c r="G1227" s="98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5.75" customHeight="1" x14ac:dyDescent="0.25">
      <c r="A1228" s="1"/>
      <c r="B1228" s="100"/>
      <c r="C1228" s="22"/>
      <c r="D1228" s="1"/>
      <c r="E1228" s="1"/>
      <c r="F1228" s="1"/>
      <c r="G1228" s="98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5.75" customHeight="1" x14ac:dyDescent="0.25">
      <c r="A1229" s="1"/>
      <c r="B1229" s="100"/>
      <c r="C1229" s="22"/>
      <c r="D1229" s="1"/>
      <c r="E1229" s="1"/>
      <c r="F1229" s="1"/>
      <c r="G1229" s="98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5.75" customHeight="1" x14ac:dyDescent="0.25">
      <c r="A1230" s="1"/>
      <c r="B1230" s="100"/>
      <c r="C1230" s="22"/>
      <c r="D1230" s="1"/>
      <c r="E1230" s="1"/>
      <c r="F1230" s="1"/>
      <c r="G1230" s="98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5.75" customHeight="1" x14ac:dyDescent="0.25">
      <c r="A1231" s="1"/>
      <c r="B1231" s="100"/>
      <c r="C1231" s="22"/>
      <c r="D1231" s="1"/>
      <c r="E1231" s="1"/>
      <c r="F1231" s="1"/>
      <c r="G1231" s="98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5.75" customHeight="1" x14ac:dyDescent="0.25">
      <c r="A1232" s="1"/>
      <c r="B1232" s="100"/>
      <c r="C1232" s="22"/>
      <c r="D1232" s="1"/>
      <c r="E1232" s="1"/>
      <c r="F1232" s="1"/>
      <c r="G1232" s="98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5.75" customHeight="1" x14ac:dyDescent="0.25">
      <c r="A1233" s="1"/>
      <c r="B1233" s="100"/>
      <c r="C1233" s="22"/>
      <c r="D1233" s="1"/>
      <c r="E1233" s="1"/>
      <c r="F1233" s="1"/>
      <c r="G1233" s="98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5.75" customHeight="1" x14ac:dyDescent="0.25">
      <c r="A1234" s="1"/>
      <c r="B1234" s="100"/>
      <c r="C1234" s="22"/>
      <c r="D1234" s="1"/>
      <c r="E1234" s="1"/>
      <c r="F1234" s="1"/>
      <c r="G1234" s="98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5.75" customHeight="1" x14ac:dyDescent="0.25">
      <c r="A1235" s="1"/>
      <c r="B1235" s="100"/>
      <c r="C1235" s="22"/>
      <c r="D1235" s="1"/>
      <c r="E1235" s="1"/>
      <c r="F1235" s="1"/>
      <c r="G1235" s="98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5.75" customHeight="1" x14ac:dyDescent="0.25">
      <c r="A1236" s="1"/>
      <c r="B1236" s="100"/>
      <c r="C1236" s="22"/>
      <c r="D1236" s="1"/>
      <c r="E1236" s="1"/>
      <c r="F1236" s="1"/>
      <c r="G1236" s="98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5.75" customHeight="1" x14ac:dyDescent="0.25">
      <c r="A1237" s="1"/>
      <c r="B1237" s="100"/>
      <c r="C1237" s="22"/>
      <c r="D1237" s="1"/>
      <c r="E1237" s="1"/>
      <c r="F1237" s="1"/>
      <c r="G1237" s="98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5.75" customHeight="1" x14ac:dyDescent="0.25">
      <c r="A1238" s="1"/>
      <c r="B1238" s="100"/>
      <c r="C1238" s="22"/>
      <c r="D1238" s="1"/>
      <c r="E1238" s="1"/>
      <c r="F1238" s="1"/>
      <c r="G1238" s="98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5.75" customHeight="1" x14ac:dyDescent="0.25">
      <c r="A1239" s="1"/>
      <c r="B1239" s="100"/>
      <c r="C1239" s="22"/>
      <c r="D1239" s="1"/>
      <c r="E1239" s="1"/>
      <c r="F1239" s="1"/>
      <c r="G1239" s="98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5.75" customHeight="1" x14ac:dyDescent="0.25">
      <c r="A1240" s="1"/>
      <c r="B1240" s="100"/>
      <c r="C1240" s="22"/>
      <c r="D1240" s="1"/>
      <c r="E1240" s="1"/>
      <c r="F1240" s="1"/>
      <c r="G1240" s="98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5.75" customHeight="1" x14ac:dyDescent="0.25">
      <c r="A1241" s="1"/>
      <c r="B1241" s="100"/>
      <c r="C1241" s="22"/>
      <c r="D1241" s="1"/>
      <c r="E1241" s="1"/>
      <c r="F1241" s="1"/>
      <c r="G1241" s="98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5.75" customHeight="1" x14ac:dyDescent="0.25">
      <c r="A1242" s="1"/>
      <c r="B1242" s="100"/>
      <c r="C1242" s="22"/>
      <c r="D1242" s="1"/>
      <c r="E1242" s="1"/>
      <c r="F1242" s="1"/>
      <c r="G1242" s="98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5.75" customHeight="1" x14ac:dyDescent="0.25">
      <c r="A1243" s="1"/>
      <c r="B1243" s="100"/>
      <c r="C1243" s="22"/>
      <c r="D1243" s="1"/>
      <c r="E1243" s="1"/>
      <c r="F1243" s="1"/>
      <c r="G1243" s="98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5.75" customHeight="1" x14ac:dyDescent="0.25">
      <c r="A1244" s="1"/>
      <c r="B1244" s="100"/>
      <c r="C1244" s="22"/>
      <c r="D1244" s="1"/>
      <c r="E1244" s="1"/>
      <c r="F1244" s="1"/>
      <c r="G1244" s="98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5.75" customHeight="1" x14ac:dyDescent="0.25">
      <c r="A1245" s="1"/>
      <c r="B1245" s="100"/>
      <c r="C1245" s="22"/>
      <c r="D1245" s="1"/>
      <c r="E1245" s="1"/>
      <c r="F1245" s="1"/>
      <c r="G1245" s="98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5.75" customHeight="1" x14ac:dyDescent="0.25">
      <c r="A1246" s="1"/>
      <c r="B1246" s="100"/>
      <c r="C1246" s="22"/>
      <c r="D1246" s="1"/>
      <c r="E1246" s="1"/>
      <c r="F1246" s="1"/>
      <c r="G1246" s="98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5.75" customHeight="1" x14ac:dyDescent="0.25">
      <c r="A1247" s="1"/>
      <c r="B1247" s="100"/>
      <c r="C1247" s="22"/>
      <c r="D1247" s="1"/>
      <c r="E1247" s="1"/>
      <c r="F1247" s="1"/>
      <c r="G1247" s="98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5.75" customHeight="1" x14ac:dyDescent="0.25">
      <c r="A1248" s="1"/>
      <c r="B1248" s="100"/>
      <c r="C1248" s="22"/>
      <c r="D1248" s="1"/>
      <c r="E1248" s="1"/>
      <c r="F1248" s="1"/>
      <c r="G1248" s="98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5.75" customHeight="1" x14ac:dyDescent="0.25">
      <c r="A1249" s="1"/>
      <c r="B1249" s="100"/>
      <c r="C1249" s="22"/>
      <c r="D1249" s="1"/>
      <c r="E1249" s="1"/>
      <c r="F1249" s="1"/>
      <c r="G1249" s="98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5.75" customHeight="1" x14ac:dyDescent="0.25">
      <c r="A1250" s="1"/>
      <c r="B1250" s="100"/>
      <c r="C1250" s="22"/>
      <c r="D1250" s="1"/>
      <c r="E1250" s="1"/>
      <c r="F1250" s="1"/>
      <c r="G1250" s="98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5.75" customHeight="1" x14ac:dyDescent="0.25">
      <c r="A1251" s="1"/>
      <c r="B1251" s="100"/>
      <c r="C1251" s="22"/>
      <c r="D1251" s="1"/>
      <c r="E1251" s="1"/>
      <c r="F1251" s="1"/>
      <c r="G1251" s="98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5.75" customHeight="1" x14ac:dyDescent="0.25">
      <c r="A1252" s="1"/>
      <c r="B1252" s="100"/>
      <c r="C1252" s="22"/>
      <c r="D1252" s="1"/>
      <c r="E1252" s="1"/>
      <c r="F1252" s="1"/>
      <c r="G1252" s="98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5.75" customHeight="1" x14ac:dyDescent="0.25">
      <c r="A1253" s="1"/>
      <c r="B1253" s="100"/>
      <c r="C1253" s="22"/>
      <c r="D1253" s="1"/>
      <c r="E1253" s="1"/>
      <c r="F1253" s="1"/>
      <c r="G1253" s="98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5.75" customHeight="1" x14ac:dyDescent="0.25">
      <c r="A1254" s="1"/>
      <c r="B1254" s="100"/>
      <c r="C1254" s="22"/>
      <c r="D1254" s="1"/>
      <c r="E1254" s="1"/>
      <c r="F1254" s="1"/>
      <c r="G1254" s="98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5.75" customHeight="1" x14ac:dyDescent="0.25">
      <c r="A1255" s="1"/>
      <c r="B1255" s="100"/>
      <c r="C1255" s="22"/>
      <c r="D1255" s="1"/>
      <c r="E1255" s="1"/>
      <c r="F1255" s="1"/>
      <c r="G1255" s="98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5.75" customHeight="1" x14ac:dyDescent="0.25">
      <c r="A1256" s="1"/>
      <c r="B1256" s="100"/>
      <c r="C1256" s="22"/>
      <c r="D1256" s="1"/>
      <c r="E1256" s="1"/>
      <c r="F1256" s="1"/>
      <c r="G1256" s="98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5.75" customHeight="1" x14ac:dyDescent="0.25">
      <c r="A1257" s="1"/>
      <c r="B1257" s="100"/>
      <c r="C1257" s="22"/>
      <c r="D1257" s="1"/>
      <c r="E1257" s="1"/>
      <c r="F1257" s="1"/>
      <c r="G1257" s="98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5.75" customHeight="1" x14ac:dyDescent="0.25">
      <c r="A1258" s="1"/>
      <c r="B1258" s="100"/>
      <c r="C1258" s="22"/>
      <c r="D1258" s="1"/>
      <c r="E1258" s="1"/>
      <c r="F1258" s="1"/>
      <c r="G1258" s="98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5.75" customHeight="1" x14ac:dyDescent="0.25">
      <c r="A1259" s="1"/>
      <c r="B1259" s="100"/>
      <c r="C1259" s="22"/>
      <c r="D1259" s="1"/>
      <c r="E1259" s="1"/>
      <c r="F1259" s="1"/>
      <c r="G1259" s="98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5.75" customHeight="1" x14ac:dyDescent="0.25">
      <c r="A1260" s="1"/>
      <c r="B1260" s="100"/>
      <c r="C1260" s="22"/>
      <c r="D1260" s="1"/>
      <c r="E1260" s="1"/>
      <c r="F1260" s="1"/>
      <c r="G1260" s="98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5.75" customHeight="1" x14ac:dyDescent="0.25">
      <c r="A1261" s="1"/>
      <c r="B1261" s="100"/>
      <c r="C1261" s="22"/>
      <c r="D1261" s="1"/>
      <c r="E1261" s="1"/>
      <c r="F1261" s="1"/>
      <c r="G1261" s="98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5.75" customHeight="1" x14ac:dyDescent="0.25">
      <c r="A1262" s="1"/>
      <c r="B1262" s="100"/>
      <c r="C1262" s="22"/>
      <c r="D1262" s="1"/>
      <c r="E1262" s="1"/>
      <c r="F1262" s="1"/>
      <c r="G1262" s="98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5.75" customHeight="1" x14ac:dyDescent="0.25">
      <c r="A1263" s="1"/>
      <c r="B1263" s="100"/>
      <c r="C1263" s="22"/>
      <c r="D1263" s="1"/>
      <c r="E1263" s="1"/>
      <c r="F1263" s="1"/>
      <c r="G1263" s="98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5.75" customHeight="1" x14ac:dyDescent="0.25">
      <c r="A1264" s="1"/>
      <c r="B1264" s="100"/>
      <c r="C1264" s="22"/>
      <c r="D1264" s="1"/>
      <c r="E1264" s="1"/>
      <c r="F1264" s="1"/>
      <c r="G1264" s="98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5.75" customHeight="1" x14ac:dyDescent="0.25">
      <c r="A1265" s="1"/>
      <c r="B1265" s="100"/>
      <c r="C1265" s="22"/>
      <c r="D1265" s="1"/>
      <c r="E1265" s="1"/>
      <c r="F1265" s="1"/>
      <c r="G1265" s="98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5.75" customHeight="1" x14ac:dyDescent="0.25">
      <c r="A1266" s="1"/>
      <c r="B1266" s="100"/>
      <c r="C1266" s="22"/>
      <c r="D1266" s="1"/>
      <c r="E1266" s="1"/>
      <c r="F1266" s="1"/>
      <c r="G1266" s="98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5.75" customHeight="1" x14ac:dyDescent="0.25">
      <c r="A1267" s="1"/>
      <c r="B1267" s="100"/>
      <c r="C1267" s="22"/>
      <c r="D1267" s="1"/>
      <c r="E1267" s="1"/>
      <c r="F1267" s="1"/>
      <c r="G1267" s="98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5.75" customHeight="1" x14ac:dyDescent="0.25">
      <c r="A1268" s="1"/>
      <c r="B1268" s="100"/>
      <c r="C1268" s="22"/>
      <c r="D1268" s="1"/>
      <c r="E1268" s="1"/>
      <c r="F1268" s="1"/>
      <c r="G1268" s="98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5.75" customHeight="1" x14ac:dyDescent="0.25">
      <c r="A1269" s="1"/>
      <c r="B1269" s="100"/>
      <c r="C1269" s="22"/>
      <c r="D1269" s="1"/>
      <c r="E1269" s="1"/>
      <c r="F1269" s="1"/>
      <c r="G1269" s="98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5.75" customHeight="1" x14ac:dyDescent="0.25">
      <c r="A1270" s="1"/>
      <c r="B1270" s="100"/>
      <c r="C1270" s="22"/>
      <c r="D1270" s="1"/>
      <c r="E1270" s="1"/>
      <c r="F1270" s="1"/>
      <c r="G1270" s="98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5.75" customHeight="1" x14ac:dyDescent="0.25">
      <c r="A1271" s="1"/>
      <c r="B1271" s="100"/>
      <c r="C1271" s="22"/>
      <c r="D1271" s="1"/>
      <c r="E1271" s="1"/>
      <c r="F1271" s="1"/>
      <c r="G1271" s="98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5.75" customHeight="1" x14ac:dyDescent="0.25">
      <c r="A1272" s="1"/>
      <c r="B1272" s="100"/>
      <c r="C1272" s="22"/>
      <c r="D1272" s="1"/>
      <c r="E1272" s="1"/>
      <c r="F1272" s="1"/>
      <c r="G1272" s="98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5.75" customHeight="1" x14ac:dyDescent="0.25">
      <c r="A1273" s="1"/>
      <c r="B1273" s="100"/>
      <c r="C1273" s="22"/>
      <c r="D1273" s="1"/>
      <c r="E1273" s="1"/>
      <c r="F1273" s="1"/>
      <c r="G1273" s="98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5.75" customHeight="1" x14ac:dyDescent="0.25">
      <c r="A1274" s="1"/>
      <c r="B1274" s="100"/>
      <c r="C1274" s="22"/>
      <c r="D1274" s="1"/>
      <c r="E1274" s="1"/>
      <c r="F1274" s="1"/>
      <c r="G1274" s="98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5.75" customHeight="1" x14ac:dyDescent="0.25">
      <c r="A1275" s="1"/>
      <c r="B1275" s="100"/>
      <c r="C1275" s="22"/>
      <c r="D1275" s="1"/>
      <c r="E1275" s="1"/>
      <c r="F1275" s="1"/>
      <c r="G1275" s="98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5.75" customHeight="1" x14ac:dyDescent="0.25">
      <c r="A1276" s="1"/>
      <c r="B1276" s="100"/>
      <c r="C1276" s="22"/>
      <c r="D1276" s="1"/>
      <c r="E1276" s="1"/>
      <c r="F1276" s="1"/>
      <c r="G1276" s="98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5.75" customHeight="1" x14ac:dyDescent="0.25">
      <c r="A1277" s="1"/>
      <c r="B1277" s="100"/>
      <c r="C1277" s="22"/>
      <c r="D1277" s="1"/>
      <c r="E1277" s="1"/>
      <c r="F1277" s="1"/>
      <c r="G1277" s="98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5.75" customHeight="1" x14ac:dyDescent="0.25">
      <c r="A1278" s="1"/>
      <c r="B1278" s="100"/>
      <c r="C1278" s="22"/>
      <c r="D1278" s="1"/>
      <c r="E1278" s="1"/>
      <c r="F1278" s="1"/>
      <c r="G1278" s="98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5.75" customHeight="1" x14ac:dyDescent="0.25">
      <c r="A1279" s="1"/>
      <c r="B1279" s="100"/>
      <c r="C1279" s="22"/>
      <c r="D1279" s="1"/>
      <c r="E1279" s="1"/>
      <c r="F1279" s="1"/>
      <c r="G1279" s="98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5.75" customHeight="1" x14ac:dyDescent="0.25">
      <c r="A1280" s="1"/>
      <c r="B1280" s="100"/>
      <c r="C1280" s="22"/>
      <c r="D1280" s="1"/>
      <c r="E1280" s="1"/>
      <c r="F1280" s="1"/>
      <c r="G1280" s="98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5.75" customHeight="1" x14ac:dyDescent="0.25">
      <c r="A1281" s="1"/>
      <c r="B1281" s="100"/>
      <c r="C1281" s="22"/>
      <c r="D1281" s="1"/>
      <c r="E1281" s="1"/>
      <c r="F1281" s="1"/>
      <c r="G1281" s="98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5.75" customHeight="1" x14ac:dyDescent="0.25">
      <c r="A1282" s="1"/>
      <c r="B1282" s="100"/>
      <c r="C1282" s="22"/>
      <c r="D1282" s="1"/>
      <c r="E1282" s="1"/>
      <c r="F1282" s="1"/>
      <c r="G1282" s="98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5.75" customHeight="1" x14ac:dyDescent="0.25">
      <c r="A1283" s="1"/>
      <c r="B1283" s="100"/>
      <c r="C1283" s="22"/>
      <c r="D1283" s="1"/>
      <c r="E1283" s="1"/>
      <c r="F1283" s="1"/>
      <c r="G1283" s="98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5.75" customHeight="1" x14ac:dyDescent="0.25">
      <c r="A1284" s="1"/>
      <c r="B1284" s="100"/>
      <c r="C1284" s="22"/>
      <c r="D1284" s="1"/>
      <c r="E1284" s="1"/>
      <c r="F1284" s="1"/>
      <c r="G1284" s="98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5.75" customHeight="1" x14ac:dyDescent="0.25">
      <c r="A1285" s="1"/>
      <c r="B1285" s="100"/>
      <c r="C1285" s="22"/>
      <c r="D1285" s="1"/>
      <c r="E1285" s="1"/>
      <c r="F1285" s="1"/>
      <c r="G1285" s="98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5.75" customHeight="1" x14ac:dyDescent="0.25">
      <c r="A1286" s="1"/>
      <c r="B1286" s="100"/>
      <c r="C1286" s="22"/>
      <c r="D1286" s="1"/>
      <c r="E1286" s="1"/>
      <c r="F1286" s="1"/>
      <c r="G1286" s="98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5.75" customHeight="1" x14ac:dyDescent="0.25">
      <c r="A1287" s="1"/>
      <c r="B1287" s="100"/>
      <c r="C1287" s="22"/>
      <c r="D1287" s="1"/>
      <c r="E1287" s="1"/>
      <c r="F1287" s="1"/>
      <c r="G1287" s="98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5.75" customHeight="1" x14ac:dyDescent="0.25">
      <c r="A1288" s="1"/>
      <c r="B1288" s="100"/>
      <c r="C1288" s="22"/>
      <c r="D1288" s="1"/>
      <c r="E1288" s="1"/>
      <c r="F1288" s="1"/>
      <c r="G1288" s="98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5.75" customHeight="1" x14ac:dyDescent="0.25">
      <c r="A1289" s="1"/>
      <c r="B1289" s="100"/>
      <c r="C1289" s="22"/>
      <c r="D1289" s="1"/>
      <c r="E1289" s="1"/>
      <c r="F1289" s="1"/>
      <c r="G1289" s="98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5.75" customHeight="1" x14ac:dyDescent="0.25">
      <c r="A1290" s="1"/>
      <c r="B1290" s="100"/>
      <c r="C1290" s="22"/>
      <c r="D1290" s="1"/>
      <c r="E1290" s="1"/>
      <c r="F1290" s="1"/>
      <c r="G1290" s="98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5.75" customHeight="1" x14ac:dyDescent="0.25">
      <c r="A1291" s="1"/>
      <c r="B1291" s="100"/>
      <c r="C1291" s="22"/>
      <c r="D1291" s="1"/>
      <c r="E1291" s="1"/>
      <c r="F1291" s="1"/>
      <c r="G1291" s="98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5.75" customHeight="1" x14ac:dyDescent="0.25">
      <c r="A1292" s="1"/>
      <c r="B1292" s="100"/>
      <c r="C1292" s="22"/>
      <c r="D1292" s="1"/>
      <c r="E1292" s="1"/>
      <c r="F1292" s="1"/>
      <c r="G1292" s="98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5.75" customHeight="1" x14ac:dyDescent="0.25">
      <c r="A1293" s="1"/>
      <c r="B1293" s="100"/>
      <c r="C1293" s="22"/>
      <c r="D1293" s="1"/>
      <c r="E1293" s="1"/>
      <c r="F1293" s="1"/>
      <c r="G1293" s="98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5.75" customHeight="1" x14ac:dyDescent="0.25">
      <c r="A1294" s="1"/>
      <c r="B1294" s="100"/>
      <c r="C1294" s="22"/>
      <c r="D1294" s="1"/>
      <c r="E1294" s="1"/>
      <c r="F1294" s="1"/>
      <c r="G1294" s="98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5.75" customHeight="1" x14ac:dyDescent="0.25">
      <c r="A1295" s="1"/>
      <c r="B1295" s="100"/>
      <c r="C1295" s="22"/>
      <c r="D1295" s="1"/>
      <c r="E1295" s="1"/>
      <c r="F1295" s="1"/>
      <c r="G1295" s="98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5.75" customHeight="1" x14ac:dyDescent="0.25">
      <c r="A1296" s="1"/>
      <c r="B1296" s="100"/>
      <c r="C1296" s="22"/>
      <c r="D1296" s="1"/>
      <c r="E1296" s="1"/>
      <c r="F1296" s="1"/>
      <c r="G1296" s="98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5.75" customHeight="1" x14ac:dyDescent="0.25">
      <c r="A1297" s="1"/>
      <c r="B1297" s="100"/>
      <c r="C1297" s="22"/>
      <c r="D1297" s="1"/>
      <c r="E1297" s="1"/>
      <c r="F1297" s="1"/>
      <c r="G1297" s="98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5.75" customHeight="1" x14ac:dyDescent="0.25">
      <c r="A1298" s="1"/>
      <c r="B1298" s="100"/>
      <c r="C1298" s="22"/>
      <c r="D1298" s="1"/>
      <c r="E1298" s="1"/>
      <c r="F1298" s="1"/>
      <c r="G1298" s="98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5.75" customHeight="1" x14ac:dyDescent="0.25">
      <c r="A1299" s="1"/>
      <c r="B1299" s="100"/>
      <c r="C1299" s="22"/>
      <c r="D1299" s="1"/>
      <c r="E1299" s="1"/>
      <c r="F1299" s="1"/>
      <c r="G1299" s="98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5.75" customHeight="1" x14ac:dyDescent="0.25">
      <c r="A1300" s="1"/>
      <c r="B1300" s="100"/>
      <c r="C1300" s="22"/>
      <c r="D1300" s="1"/>
      <c r="E1300" s="1"/>
      <c r="F1300" s="1"/>
      <c r="G1300" s="98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5.75" customHeight="1" x14ac:dyDescent="0.25">
      <c r="A1301" s="1"/>
      <c r="B1301" s="100"/>
      <c r="C1301" s="22"/>
      <c r="D1301" s="1"/>
      <c r="E1301" s="1"/>
      <c r="F1301" s="1"/>
      <c r="G1301" s="98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5.75" customHeight="1" x14ac:dyDescent="0.25">
      <c r="A1302" s="1"/>
      <c r="B1302" s="100"/>
      <c r="C1302" s="22"/>
      <c r="D1302" s="1"/>
      <c r="E1302" s="1"/>
      <c r="F1302" s="1"/>
      <c r="G1302" s="98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5.75" customHeight="1" x14ac:dyDescent="0.25">
      <c r="A1303" s="1"/>
      <c r="B1303" s="100"/>
      <c r="C1303" s="22"/>
      <c r="D1303" s="1"/>
      <c r="E1303" s="1"/>
      <c r="F1303" s="1"/>
      <c r="G1303" s="98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5.75" customHeight="1" x14ac:dyDescent="0.25">
      <c r="A1304" s="1"/>
      <c r="B1304" s="100"/>
      <c r="C1304" s="22"/>
      <c r="D1304" s="1"/>
      <c r="E1304" s="1"/>
      <c r="F1304" s="1"/>
      <c r="G1304" s="98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5.75" customHeight="1" x14ac:dyDescent="0.25">
      <c r="A1305" s="1"/>
      <c r="B1305" s="100"/>
      <c r="C1305" s="22"/>
      <c r="D1305" s="1"/>
      <c r="E1305" s="1"/>
      <c r="F1305" s="1"/>
      <c r="G1305" s="98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5.75" customHeight="1" x14ac:dyDescent="0.25">
      <c r="A1306" s="1"/>
      <c r="B1306" s="100"/>
      <c r="C1306" s="22"/>
      <c r="D1306" s="1"/>
      <c r="E1306" s="1"/>
      <c r="F1306" s="1"/>
      <c r="G1306" s="98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5.75" customHeight="1" x14ac:dyDescent="0.25">
      <c r="A1307" s="1"/>
      <c r="B1307" s="100"/>
      <c r="C1307" s="22"/>
      <c r="D1307" s="1"/>
      <c r="E1307" s="1"/>
      <c r="F1307" s="1"/>
      <c r="G1307" s="98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5.75" customHeight="1" x14ac:dyDescent="0.25">
      <c r="A1308" s="1"/>
      <c r="B1308" s="100"/>
      <c r="C1308" s="22"/>
      <c r="D1308" s="1"/>
      <c r="E1308" s="1"/>
      <c r="F1308" s="1"/>
      <c r="G1308" s="98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5.75" customHeight="1" x14ac:dyDescent="0.25">
      <c r="A1309" s="1"/>
      <c r="B1309" s="100"/>
      <c r="C1309" s="22"/>
      <c r="D1309" s="1"/>
      <c r="E1309" s="1"/>
      <c r="F1309" s="1"/>
      <c r="G1309" s="98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5.75" customHeight="1" x14ac:dyDescent="0.25">
      <c r="A1310" s="1"/>
      <c r="B1310" s="100"/>
      <c r="C1310" s="22"/>
      <c r="D1310" s="1"/>
      <c r="E1310" s="1"/>
      <c r="F1310" s="1"/>
      <c r="G1310" s="98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5.75" customHeight="1" x14ac:dyDescent="0.25">
      <c r="A1311" s="1"/>
      <c r="B1311" s="100"/>
      <c r="C1311" s="22"/>
      <c r="D1311" s="1"/>
      <c r="E1311" s="1"/>
      <c r="F1311" s="1"/>
      <c r="G1311" s="98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5.75" customHeight="1" x14ac:dyDescent="0.25">
      <c r="A1312" s="1"/>
      <c r="B1312" s="100"/>
      <c r="C1312" s="22"/>
      <c r="D1312" s="1"/>
      <c r="E1312" s="1"/>
      <c r="F1312" s="1"/>
      <c r="G1312" s="98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5.75" customHeight="1" x14ac:dyDescent="0.25">
      <c r="A1313" s="1"/>
      <c r="B1313" s="100"/>
      <c r="C1313" s="22"/>
      <c r="D1313" s="1"/>
      <c r="E1313" s="1"/>
      <c r="F1313" s="1"/>
      <c r="G1313" s="98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5.75" customHeight="1" x14ac:dyDescent="0.25">
      <c r="A1314" s="1"/>
      <c r="B1314" s="100"/>
      <c r="C1314" s="22"/>
      <c r="D1314" s="1"/>
      <c r="E1314" s="1"/>
      <c r="F1314" s="1"/>
      <c r="G1314" s="98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5.75" customHeight="1" x14ac:dyDescent="0.25">
      <c r="A1315" s="1"/>
      <c r="B1315" s="100"/>
      <c r="C1315" s="22"/>
      <c r="D1315" s="1"/>
      <c r="E1315" s="1"/>
      <c r="F1315" s="1"/>
      <c r="G1315" s="98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5.75" customHeight="1" x14ac:dyDescent="0.25">
      <c r="A1316" s="1"/>
      <c r="B1316" s="100"/>
      <c r="C1316" s="22"/>
      <c r="D1316" s="1"/>
      <c r="E1316" s="1"/>
      <c r="F1316" s="1"/>
      <c r="G1316" s="98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5.75" customHeight="1" x14ac:dyDescent="0.25">
      <c r="A1317" s="1"/>
      <c r="B1317" s="100"/>
      <c r="C1317" s="22"/>
      <c r="D1317" s="1"/>
      <c r="E1317" s="1"/>
      <c r="F1317" s="1"/>
      <c r="G1317" s="98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5.75" customHeight="1" x14ac:dyDescent="0.25">
      <c r="A1318" s="1"/>
      <c r="B1318" s="100"/>
      <c r="C1318" s="22"/>
      <c r="D1318" s="1"/>
      <c r="E1318" s="1"/>
      <c r="F1318" s="1"/>
      <c r="G1318" s="98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5.75" customHeight="1" x14ac:dyDescent="0.25">
      <c r="A1319" s="1"/>
      <c r="B1319" s="100"/>
      <c r="C1319" s="22"/>
      <c r="D1319" s="1"/>
      <c r="E1319" s="1"/>
      <c r="F1319" s="1"/>
      <c r="G1319" s="98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5.75" customHeight="1" x14ac:dyDescent="0.25">
      <c r="A1320" s="1"/>
      <c r="B1320" s="100"/>
      <c r="C1320" s="22"/>
      <c r="D1320" s="1"/>
      <c r="E1320" s="1"/>
      <c r="F1320" s="1"/>
      <c r="G1320" s="98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5.75" customHeight="1" x14ac:dyDescent="0.25">
      <c r="A1321" s="1"/>
      <c r="B1321" s="100"/>
      <c r="C1321" s="22"/>
      <c r="D1321" s="1"/>
      <c r="E1321" s="1"/>
      <c r="F1321" s="1"/>
      <c r="G1321" s="98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5.75" customHeight="1" x14ac:dyDescent="0.25">
      <c r="A1322" s="1"/>
      <c r="B1322" s="100"/>
      <c r="C1322" s="22"/>
      <c r="D1322" s="1"/>
      <c r="E1322" s="1"/>
      <c r="F1322" s="1"/>
      <c r="G1322" s="98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5.75" customHeight="1" x14ac:dyDescent="0.25">
      <c r="A1323" s="1"/>
      <c r="B1323" s="100"/>
      <c r="C1323" s="22"/>
      <c r="D1323" s="1"/>
      <c r="E1323" s="1"/>
      <c r="F1323" s="1"/>
      <c r="G1323" s="98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5.75" customHeight="1" x14ac:dyDescent="0.25">
      <c r="A1324" s="1"/>
      <c r="B1324" s="100"/>
      <c r="C1324" s="22"/>
      <c r="D1324" s="1"/>
      <c r="E1324" s="1"/>
      <c r="F1324" s="1"/>
      <c r="G1324" s="98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5.75" customHeight="1" x14ac:dyDescent="0.25">
      <c r="A1325" s="1"/>
      <c r="B1325" s="100"/>
      <c r="C1325" s="22"/>
      <c r="D1325" s="1"/>
      <c r="E1325" s="1"/>
      <c r="F1325" s="1"/>
      <c r="G1325" s="98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5.75" customHeight="1" x14ac:dyDescent="0.25">
      <c r="A1326" s="1"/>
      <c r="B1326" s="100"/>
      <c r="C1326" s="22"/>
      <c r="D1326" s="1"/>
      <c r="E1326" s="1"/>
      <c r="F1326" s="1"/>
      <c r="G1326" s="98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5.75" customHeight="1" x14ac:dyDescent="0.25">
      <c r="A1327" s="1"/>
      <c r="B1327" s="100"/>
      <c r="C1327" s="22"/>
      <c r="D1327" s="1"/>
      <c r="E1327" s="1"/>
      <c r="F1327" s="1"/>
      <c r="G1327" s="98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5.75" customHeight="1" x14ac:dyDescent="0.25">
      <c r="A1328" s="1"/>
      <c r="B1328" s="100"/>
      <c r="C1328" s="22"/>
      <c r="D1328" s="1"/>
      <c r="E1328" s="1"/>
      <c r="F1328" s="1"/>
      <c r="G1328" s="98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5.75" customHeight="1" x14ac:dyDescent="0.25">
      <c r="A1329" s="1"/>
      <c r="B1329" s="100"/>
      <c r="C1329" s="22"/>
      <c r="D1329" s="1"/>
      <c r="E1329" s="1"/>
      <c r="F1329" s="1"/>
      <c r="G1329" s="98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5.75" customHeight="1" x14ac:dyDescent="0.25">
      <c r="A1330" s="1"/>
      <c r="B1330" s="100"/>
      <c r="C1330" s="22"/>
      <c r="D1330" s="1"/>
      <c r="E1330" s="1"/>
      <c r="F1330" s="1"/>
      <c r="G1330" s="98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5.75" customHeight="1" x14ac:dyDescent="0.25">
      <c r="A1331" s="1"/>
      <c r="B1331" s="100"/>
      <c r="C1331" s="22"/>
      <c r="D1331" s="1"/>
      <c r="E1331" s="1"/>
      <c r="F1331" s="1"/>
      <c r="G1331" s="98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5.75" customHeight="1" x14ac:dyDescent="0.25">
      <c r="A1332" s="1"/>
      <c r="B1332" s="100"/>
      <c r="C1332" s="22"/>
      <c r="D1332" s="1"/>
      <c r="E1332" s="1"/>
      <c r="F1332" s="1"/>
      <c r="G1332" s="98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5.75" customHeight="1" x14ac:dyDescent="0.25">
      <c r="A1333" s="1"/>
      <c r="B1333" s="100"/>
      <c r="C1333" s="22"/>
      <c r="D1333" s="1"/>
      <c r="E1333" s="1"/>
      <c r="F1333" s="1"/>
      <c r="G1333" s="98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5.75" customHeight="1" x14ac:dyDescent="0.25">
      <c r="A1334" s="1"/>
      <c r="B1334" s="100"/>
      <c r="C1334" s="22"/>
      <c r="D1334" s="1"/>
      <c r="E1334" s="1"/>
      <c r="F1334" s="1"/>
      <c r="G1334" s="98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5.75" customHeight="1" x14ac:dyDescent="0.25">
      <c r="A1335" s="1"/>
      <c r="B1335" s="100"/>
      <c r="C1335" s="22"/>
      <c r="D1335" s="1"/>
      <c r="E1335" s="1"/>
      <c r="F1335" s="1"/>
      <c r="G1335" s="98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5.75" customHeight="1" x14ac:dyDescent="0.25">
      <c r="A1336" s="1"/>
      <c r="B1336" s="100"/>
      <c r="C1336" s="22"/>
      <c r="D1336" s="1"/>
      <c r="E1336" s="1"/>
      <c r="F1336" s="1"/>
      <c r="G1336" s="98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5.75" customHeight="1" x14ac:dyDescent="0.25">
      <c r="A1337" s="1"/>
      <c r="B1337" s="100"/>
      <c r="C1337" s="22"/>
      <c r="D1337" s="1"/>
      <c r="E1337" s="1"/>
      <c r="F1337" s="1"/>
      <c r="G1337" s="98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5.75" customHeight="1" x14ac:dyDescent="0.25">
      <c r="A1338" s="1"/>
      <c r="B1338" s="100"/>
      <c r="C1338" s="22"/>
      <c r="D1338" s="1"/>
      <c r="E1338" s="1"/>
      <c r="F1338" s="1"/>
      <c r="G1338" s="98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5.75" customHeight="1" x14ac:dyDescent="0.25">
      <c r="A1339" s="1"/>
      <c r="B1339" s="100"/>
      <c r="C1339" s="22"/>
      <c r="D1339" s="1"/>
      <c r="E1339" s="1"/>
      <c r="F1339" s="1"/>
      <c r="G1339" s="98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5.75" customHeight="1" x14ac:dyDescent="0.25">
      <c r="A1340" s="1"/>
      <c r="B1340" s="100"/>
      <c r="C1340" s="22"/>
      <c r="D1340" s="1"/>
      <c r="E1340" s="1"/>
      <c r="F1340" s="1"/>
      <c r="G1340" s="98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5.75" customHeight="1" x14ac:dyDescent="0.25">
      <c r="A1341" s="1"/>
      <c r="B1341" s="100"/>
      <c r="C1341" s="22"/>
      <c r="D1341" s="1"/>
      <c r="E1341" s="1"/>
      <c r="F1341" s="1"/>
      <c r="G1341" s="98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5.75" customHeight="1" x14ac:dyDescent="0.25">
      <c r="A1342" s="1"/>
      <c r="B1342" s="100"/>
      <c r="C1342" s="22"/>
      <c r="D1342" s="1"/>
      <c r="E1342" s="1"/>
      <c r="F1342" s="1"/>
      <c r="G1342" s="98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5.75" customHeight="1" x14ac:dyDescent="0.25">
      <c r="A1343" s="1"/>
      <c r="B1343" s="100"/>
      <c r="C1343" s="22"/>
      <c r="D1343" s="1"/>
      <c r="E1343" s="1"/>
      <c r="F1343" s="1"/>
      <c r="G1343" s="98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5.75" customHeight="1" x14ac:dyDescent="0.25">
      <c r="A1344" s="1"/>
      <c r="B1344" s="100"/>
      <c r="C1344" s="22"/>
      <c r="D1344" s="1"/>
      <c r="E1344" s="1"/>
      <c r="F1344" s="1"/>
      <c r="G1344" s="98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5.75" customHeight="1" x14ac:dyDescent="0.25">
      <c r="A1345" s="1"/>
      <c r="B1345" s="100"/>
      <c r="C1345" s="22"/>
      <c r="D1345" s="1"/>
      <c r="E1345" s="1"/>
      <c r="F1345" s="1"/>
      <c r="G1345" s="98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5.75" customHeight="1" x14ac:dyDescent="0.25">
      <c r="A1346" s="1"/>
      <c r="B1346" s="100"/>
      <c r="C1346" s="22"/>
      <c r="D1346" s="1"/>
      <c r="E1346" s="1"/>
      <c r="F1346" s="1"/>
      <c r="G1346" s="98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5.75" customHeight="1" x14ac:dyDescent="0.25">
      <c r="A1347" s="1"/>
      <c r="B1347" s="100"/>
      <c r="C1347" s="22"/>
      <c r="D1347" s="1"/>
      <c r="E1347" s="1"/>
      <c r="F1347" s="1"/>
      <c r="G1347" s="98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5.75" customHeight="1" x14ac:dyDescent="0.25">
      <c r="A1348" s="1"/>
      <c r="B1348" s="100"/>
      <c r="C1348" s="22"/>
      <c r="D1348" s="1"/>
      <c r="E1348" s="1"/>
      <c r="F1348" s="1"/>
      <c r="G1348" s="98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5.75" customHeight="1" x14ac:dyDescent="0.25">
      <c r="A1349" s="1"/>
      <c r="B1349" s="100"/>
      <c r="C1349" s="22"/>
      <c r="D1349" s="1"/>
      <c r="E1349" s="1"/>
      <c r="F1349" s="1"/>
      <c r="G1349" s="98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5.75" customHeight="1" x14ac:dyDescent="0.25">
      <c r="A1350" s="1"/>
      <c r="B1350" s="100"/>
      <c r="C1350" s="22"/>
      <c r="D1350" s="1"/>
      <c r="E1350" s="1"/>
      <c r="F1350" s="1"/>
      <c r="G1350" s="98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5.75" customHeight="1" x14ac:dyDescent="0.25">
      <c r="A1351" s="1"/>
      <c r="B1351" s="100"/>
      <c r="C1351" s="22"/>
      <c r="D1351" s="1"/>
      <c r="E1351" s="1"/>
      <c r="F1351" s="1"/>
      <c r="G1351" s="98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5.75" customHeight="1" x14ac:dyDescent="0.25">
      <c r="A1352" s="1"/>
      <c r="B1352" s="100"/>
      <c r="C1352" s="22"/>
      <c r="D1352" s="1"/>
      <c r="E1352" s="1"/>
      <c r="F1352" s="1"/>
      <c r="G1352" s="98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5.75" customHeight="1" x14ac:dyDescent="0.25">
      <c r="A1353" s="1"/>
      <c r="B1353" s="100"/>
      <c r="C1353" s="22"/>
      <c r="D1353" s="1"/>
      <c r="E1353" s="1"/>
      <c r="F1353" s="1"/>
      <c r="G1353" s="98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5.75" customHeight="1" x14ac:dyDescent="0.25">
      <c r="A1354" s="1"/>
      <c r="B1354" s="100"/>
      <c r="C1354" s="22"/>
      <c r="D1354" s="1"/>
      <c r="E1354" s="1"/>
      <c r="F1354" s="1"/>
      <c r="G1354" s="98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5.75" customHeight="1" x14ac:dyDescent="0.25">
      <c r="A1355" s="1"/>
      <c r="B1355" s="100"/>
      <c r="C1355" s="22"/>
      <c r="D1355" s="1"/>
      <c r="E1355" s="1"/>
      <c r="F1355" s="1"/>
      <c r="G1355" s="98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5.75" customHeight="1" x14ac:dyDescent="0.25">
      <c r="A1356" s="1"/>
      <c r="B1356" s="100"/>
      <c r="C1356" s="22"/>
      <c r="D1356" s="1"/>
      <c r="E1356" s="1"/>
      <c r="F1356" s="1"/>
      <c r="G1356" s="98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5.75" customHeight="1" x14ac:dyDescent="0.25">
      <c r="A1357" s="1"/>
      <c r="B1357" s="100"/>
      <c r="C1357" s="22"/>
      <c r="D1357" s="1"/>
      <c r="E1357" s="1"/>
      <c r="F1357" s="1"/>
      <c r="G1357" s="98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5.75" customHeight="1" x14ac:dyDescent="0.25">
      <c r="A1358" s="1"/>
      <c r="B1358" s="100"/>
      <c r="C1358" s="22"/>
      <c r="D1358" s="1"/>
      <c r="E1358" s="1"/>
      <c r="F1358" s="1"/>
      <c r="G1358" s="98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5.75" customHeight="1" x14ac:dyDescent="0.25">
      <c r="A1359" s="1"/>
      <c r="B1359" s="100"/>
      <c r="C1359" s="22"/>
      <c r="D1359" s="1"/>
      <c r="E1359" s="1"/>
      <c r="F1359" s="1"/>
      <c r="G1359" s="98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5.75" customHeight="1" x14ac:dyDescent="0.25">
      <c r="A1360" s="1"/>
      <c r="B1360" s="100"/>
      <c r="C1360" s="22"/>
      <c r="D1360" s="1"/>
      <c r="E1360" s="1"/>
      <c r="F1360" s="1"/>
      <c r="G1360" s="98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5.75" customHeight="1" x14ac:dyDescent="0.25">
      <c r="A1361" s="1"/>
      <c r="B1361" s="100"/>
      <c r="C1361" s="22"/>
      <c r="D1361" s="1"/>
      <c r="E1361" s="1"/>
      <c r="F1361" s="1"/>
      <c r="G1361" s="98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5.75" customHeight="1" x14ac:dyDescent="0.25">
      <c r="A1362" s="1"/>
      <c r="B1362" s="100"/>
      <c r="C1362" s="22"/>
      <c r="D1362" s="1"/>
      <c r="E1362" s="1"/>
      <c r="F1362" s="1"/>
      <c r="G1362" s="98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5.75" customHeight="1" x14ac:dyDescent="0.25">
      <c r="A1363" s="1"/>
      <c r="B1363" s="100"/>
      <c r="C1363" s="22"/>
      <c r="D1363" s="1"/>
      <c r="E1363" s="1"/>
      <c r="F1363" s="1"/>
      <c r="G1363" s="98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5.75" customHeight="1" x14ac:dyDescent="0.25">
      <c r="A1364" s="1"/>
      <c r="B1364" s="100"/>
      <c r="C1364" s="22"/>
      <c r="D1364" s="1"/>
      <c r="E1364" s="1"/>
      <c r="F1364" s="1"/>
      <c r="G1364" s="98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5.75" customHeight="1" x14ac:dyDescent="0.25">
      <c r="A1365" s="1"/>
      <c r="B1365" s="100"/>
      <c r="C1365" s="22"/>
      <c r="D1365" s="1"/>
      <c r="E1365" s="1"/>
      <c r="F1365" s="1"/>
      <c r="G1365" s="98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5.75" customHeight="1" x14ac:dyDescent="0.25">
      <c r="A1366" s="1"/>
      <c r="B1366" s="100"/>
      <c r="C1366" s="22"/>
      <c r="D1366" s="1"/>
      <c r="E1366" s="1"/>
      <c r="F1366" s="1"/>
      <c r="G1366" s="98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5.75" customHeight="1" x14ac:dyDescent="0.25">
      <c r="A1367" s="1"/>
      <c r="B1367" s="100"/>
      <c r="C1367" s="22"/>
      <c r="D1367" s="1"/>
      <c r="E1367" s="1"/>
      <c r="F1367" s="1"/>
      <c r="G1367" s="98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5.75" customHeight="1" x14ac:dyDescent="0.25">
      <c r="A1368" s="1"/>
      <c r="B1368" s="100"/>
      <c r="C1368" s="22"/>
      <c r="D1368" s="1"/>
      <c r="E1368" s="1"/>
      <c r="F1368" s="1"/>
      <c r="G1368" s="98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5.75" customHeight="1" x14ac:dyDescent="0.25">
      <c r="A1369" s="1"/>
      <c r="B1369" s="100"/>
      <c r="C1369" s="22"/>
      <c r="D1369" s="1"/>
      <c r="E1369" s="1"/>
      <c r="F1369" s="1"/>
      <c r="G1369" s="98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5.75" customHeight="1" x14ac:dyDescent="0.25">
      <c r="A1370" s="1"/>
      <c r="B1370" s="100"/>
      <c r="C1370" s="22"/>
      <c r="D1370" s="1"/>
      <c r="E1370" s="1"/>
      <c r="F1370" s="1"/>
      <c r="G1370" s="98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5.75" customHeight="1" x14ac:dyDescent="0.25">
      <c r="A1371" s="1"/>
      <c r="B1371" s="100"/>
      <c r="C1371" s="22"/>
      <c r="D1371" s="1"/>
      <c r="E1371" s="1"/>
      <c r="F1371" s="1"/>
      <c r="G1371" s="98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5.75" customHeight="1" x14ac:dyDescent="0.25">
      <c r="A1372" s="1"/>
      <c r="B1372" s="100"/>
      <c r="C1372" s="22"/>
      <c r="D1372" s="1"/>
      <c r="E1372" s="1"/>
      <c r="F1372" s="1"/>
      <c r="G1372" s="98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5.75" customHeight="1" x14ac:dyDescent="0.25">
      <c r="A1373" s="1"/>
      <c r="B1373" s="100"/>
      <c r="C1373" s="22"/>
      <c r="D1373" s="1"/>
      <c r="E1373" s="1"/>
      <c r="F1373" s="1"/>
      <c r="G1373" s="98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5.75" customHeight="1" x14ac:dyDescent="0.25">
      <c r="A1374" s="1"/>
      <c r="B1374" s="100"/>
      <c r="C1374" s="22"/>
      <c r="D1374" s="1"/>
      <c r="E1374" s="1"/>
      <c r="F1374" s="1"/>
      <c r="G1374" s="98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5.75" customHeight="1" x14ac:dyDescent="0.25">
      <c r="A1375" s="1"/>
      <c r="B1375" s="100"/>
      <c r="C1375" s="22"/>
      <c r="D1375" s="1"/>
      <c r="E1375" s="1"/>
      <c r="F1375" s="1"/>
      <c r="G1375" s="98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5.75" customHeight="1" x14ac:dyDescent="0.25">
      <c r="A1376" s="1"/>
      <c r="B1376" s="100"/>
      <c r="C1376" s="22"/>
      <c r="D1376" s="1"/>
      <c r="E1376" s="1"/>
      <c r="F1376" s="1"/>
      <c r="G1376" s="98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5.75" customHeight="1" x14ac:dyDescent="0.25">
      <c r="A1377" s="1"/>
      <c r="B1377" s="100"/>
      <c r="C1377" s="22"/>
      <c r="D1377" s="1"/>
      <c r="E1377" s="1"/>
      <c r="F1377" s="1"/>
      <c r="G1377" s="98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5.75" customHeight="1" x14ac:dyDescent="0.25">
      <c r="A1378" s="1"/>
      <c r="B1378" s="100"/>
      <c r="C1378" s="22"/>
      <c r="D1378" s="1"/>
      <c r="E1378" s="1"/>
      <c r="F1378" s="1"/>
      <c r="G1378" s="98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5.75" customHeight="1" x14ac:dyDescent="0.25">
      <c r="A1379" s="1"/>
      <c r="B1379" s="100"/>
      <c r="C1379" s="22"/>
      <c r="D1379" s="1"/>
      <c r="E1379" s="1"/>
      <c r="F1379" s="1"/>
      <c r="G1379" s="98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5.75" customHeight="1" x14ac:dyDescent="0.25">
      <c r="A1380" s="1"/>
      <c r="B1380" s="100"/>
      <c r="C1380" s="22"/>
      <c r="D1380" s="1"/>
      <c r="E1380" s="1"/>
      <c r="F1380" s="1"/>
      <c r="G1380" s="98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5.75" customHeight="1" x14ac:dyDescent="0.25">
      <c r="A1381" s="1"/>
      <c r="B1381" s="100"/>
      <c r="C1381" s="22"/>
      <c r="D1381" s="1"/>
      <c r="E1381" s="1"/>
      <c r="F1381" s="1"/>
      <c r="G1381" s="98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5.75" customHeight="1" x14ac:dyDescent="0.25">
      <c r="A1382" s="1"/>
      <c r="B1382" s="100"/>
      <c r="C1382" s="22"/>
      <c r="D1382" s="1"/>
      <c r="E1382" s="1"/>
      <c r="F1382" s="1"/>
      <c r="G1382" s="98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5.75" customHeight="1" x14ac:dyDescent="0.25">
      <c r="A1383" s="1"/>
      <c r="B1383" s="100"/>
      <c r="C1383" s="22"/>
      <c r="D1383" s="1"/>
      <c r="E1383" s="1"/>
      <c r="F1383" s="1"/>
      <c r="G1383" s="98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5.75" customHeight="1" x14ac:dyDescent="0.25">
      <c r="A1384" s="1"/>
      <c r="B1384" s="100"/>
      <c r="C1384" s="22"/>
      <c r="D1384" s="1"/>
      <c r="E1384" s="1"/>
      <c r="F1384" s="1"/>
      <c r="G1384" s="98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5.75" customHeight="1" x14ac:dyDescent="0.25">
      <c r="A1385" s="1"/>
      <c r="B1385" s="100"/>
      <c r="C1385" s="22"/>
      <c r="D1385" s="1"/>
      <c r="E1385" s="1"/>
      <c r="F1385" s="1"/>
      <c r="G1385" s="98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5.75" customHeight="1" x14ac:dyDescent="0.25">
      <c r="A1386" s="1"/>
      <c r="B1386" s="100"/>
      <c r="C1386" s="22"/>
      <c r="D1386" s="1"/>
      <c r="E1386" s="1"/>
      <c r="F1386" s="1"/>
      <c r="G1386" s="98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5.75" customHeight="1" x14ac:dyDescent="0.25">
      <c r="A1387" s="1"/>
      <c r="B1387" s="100"/>
      <c r="C1387" s="22"/>
      <c r="D1387" s="1"/>
      <c r="E1387" s="1"/>
      <c r="F1387" s="1"/>
      <c r="G1387" s="98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5.75" customHeight="1" x14ac:dyDescent="0.25">
      <c r="A1388" s="1"/>
      <c r="B1388" s="100"/>
      <c r="C1388" s="22"/>
      <c r="D1388" s="1"/>
      <c r="E1388" s="1"/>
      <c r="F1388" s="1"/>
      <c r="G1388" s="98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5.75" customHeight="1" x14ac:dyDescent="0.25">
      <c r="A1389" s="1"/>
      <c r="B1389" s="100"/>
      <c r="C1389" s="22"/>
      <c r="D1389" s="1"/>
      <c r="E1389" s="1"/>
      <c r="F1389" s="1"/>
      <c r="G1389" s="98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5.75" customHeight="1" x14ac:dyDescent="0.25">
      <c r="A1390" s="1"/>
      <c r="B1390" s="100"/>
      <c r="C1390" s="22"/>
      <c r="D1390" s="1"/>
      <c r="E1390" s="1"/>
      <c r="F1390" s="1"/>
      <c r="G1390" s="98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5.75" customHeight="1" x14ac:dyDescent="0.25">
      <c r="A1391" s="1"/>
      <c r="B1391" s="100"/>
      <c r="C1391" s="22"/>
      <c r="D1391" s="1"/>
      <c r="E1391" s="1"/>
      <c r="F1391" s="1"/>
      <c r="G1391" s="98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5.75" customHeight="1" x14ac:dyDescent="0.25">
      <c r="A1392" s="1"/>
      <c r="B1392" s="100"/>
      <c r="C1392" s="22"/>
      <c r="D1392" s="1"/>
      <c r="E1392" s="1"/>
      <c r="F1392" s="1"/>
      <c r="G1392" s="98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5.75" customHeight="1" x14ac:dyDescent="0.25">
      <c r="A1393" s="1"/>
      <c r="B1393" s="100"/>
      <c r="C1393" s="22"/>
      <c r="D1393" s="1"/>
      <c r="E1393" s="1"/>
      <c r="F1393" s="1"/>
      <c r="G1393" s="98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5.75" customHeight="1" x14ac:dyDescent="0.25">
      <c r="A1394" s="1"/>
      <c r="B1394" s="100"/>
      <c r="C1394" s="22"/>
      <c r="D1394" s="1"/>
      <c r="E1394" s="1"/>
      <c r="F1394" s="1"/>
      <c r="G1394" s="98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5.75" customHeight="1" x14ac:dyDescent="0.25">
      <c r="A1395" s="1"/>
      <c r="B1395" s="100"/>
      <c r="C1395" s="22"/>
      <c r="D1395" s="1"/>
      <c r="E1395" s="1"/>
      <c r="F1395" s="1"/>
      <c r="G1395" s="98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5.75" customHeight="1" x14ac:dyDescent="0.25">
      <c r="A1396" s="1"/>
      <c r="B1396" s="100"/>
      <c r="C1396" s="22"/>
      <c r="D1396" s="1"/>
      <c r="E1396" s="1"/>
      <c r="F1396" s="1"/>
      <c r="G1396" s="98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5.75" customHeight="1" x14ac:dyDescent="0.25">
      <c r="A1397" s="1"/>
      <c r="B1397" s="100"/>
      <c r="C1397" s="22"/>
      <c r="D1397" s="1"/>
      <c r="E1397" s="1"/>
      <c r="F1397" s="1"/>
      <c r="G1397" s="98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5.75" customHeight="1" x14ac:dyDescent="0.25">
      <c r="A1398" s="1"/>
      <c r="B1398" s="100"/>
      <c r="C1398" s="22"/>
      <c r="D1398" s="1"/>
      <c r="E1398" s="1"/>
      <c r="F1398" s="1"/>
      <c r="G1398" s="98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5.75" customHeight="1" x14ac:dyDescent="0.25">
      <c r="A1399" s="1"/>
      <c r="B1399" s="100"/>
      <c r="C1399" s="22"/>
      <c r="D1399" s="1"/>
      <c r="E1399" s="1"/>
      <c r="F1399" s="1"/>
      <c r="G1399" s="98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5.75" customHeight="1" x14ac:dyDescent="0.25">
      <c r="A1400" s="1"/>
      <c r="B1400" s="100"/>
      <c r="C1400" s="22"/>
      <c r="D1400" s="1"/>
      <c r="E1400" s="1"/>
      <c r="F1400" s="1"/>
      <c r="G1400" s="98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5.75" customHeight="1" x14ac:dyDescent="0.25">
      <c r="A1401" s="1"/>
      <c r="B1401" s="100"/>
      <c r="C1401" s="22"/>
      <c r="D1401" s="1"/>
      <c r="E1401" s="1"/>
      <c r="F1401" s="1"/>
      <c r="G1401" s="98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5.75" customHeight="1" x14ac:dyDescent="0.25">
      <c r="A1402" s="1"/>
      <c r="B1402" s="100"/>
      <c r="C1402" s="22"/>
      <c r="D1402" s="1"/>
      <c r="E1402" s="1"/>
      <c r="F1402" s="1"/>
      <c r="G1402" s="98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5.75" customHeight="1" x14ac:dyDescent="0.25">
      <c r="A1403" s="1"/>
      <c r="B1403" s="100"/>
      <c r="C1403" s="22"/>
      <c r="D1403" s="1"/>
      <c r="E1403" s="1"/>
      <c r="F1403" s="1"/>
      <c r="G1403" s="98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5.75" customHeight="1" x14ac:dyDescent="0.25">
      <c r="A1404" s="1"/>
      <c r="B1404" s="100"/>
      <c r="C1404" s="22"/>
      <c r="D1404" s="1"/>
      <c r="E1404" s="1"/>
      <c r="F1404" s="1"/>
      <c r="G1404" s="98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5.75" customHeight="1" x14ac:dyDescent="0.25">
      <c r="A1405" s="1"/>
      <c r="B1405" s="100"/>
      <c r="C1405" s="22"/>
      <c r="D1405" s="1"/>
      <c r="E1405" s="1"/>
      <c r="F1405" s="1"/>
      <c r="G1405" s="98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5.75" customHeight="1" x14ac:dyDescent="0.25">
      <c r="A1406" s="1"/>
      <c r="B1406" s="100"/>
      <c r="C1406" s="22"/>
      <c r="D1406" s="1"/>
      <c r="E1406" s="1"/>
      <c r="F1406" s="1"/>
      <c r="G1406" s="98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5.75" customHeight="1" x14ac:dyDescent="0.25">
      <c r="A1407" s="1"/>
      <c r="B1407" s="100"/>
      <c r="C1407" s="22"/>
      <c r="D1407" s="1"/>
      <c r="E1407" s="1"/>
      <c r="F1407" s="1"/>
      <c r="G1407" s="98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5.75" customHeight="1" x14ac:dyDescent="0.25">
      <c r="A1408" s="1"/>
      <c r="B1408" s="100"/>
      <c r="C1408" s="22"/>
      <c r="D1408" s="1"/>
      <c r="E1408" s="1"/>
      <c r="F1408" s="1"/>
      <c r="G1408" s="98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5.75" customHeight="1" x14ac:dyDescent="0.25">
      <c r="A1409" s="1"/>
      <c r="B1409" s="100"/>
      <c r="C1409" s="22"/>
      <c r="D1409" s="1"/>
      <c r="E1409" s="1"/>
      <c r="F1409" s="1"/>
      <c r="G1409" s="98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5.75" customHeight="1" x14ac:dyDescent="0.25">
      <c r="A1410" s="1"/>
      <c r="B1410" s="100"/>
      <c r="C1410" s="22"/>
      <c r="D1410" s="1"/>
      <c r="E1410" s="1"/>
      <c r="F1410" s="1"/>
      <c r="G1410" s="98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5.75" customHeight="1" x14ac:dyDescent="0.25">
      <c r="A1411" s="1"/>
      <c r="B1411" s="100"/>
      <c r="C1411" s="22"/>
      <c r="D1411" s="1"/>
      <c r="E1411" s="1"/>
      <c r="F1411" s="1"/>
      <c r="G1411" s="98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5.75" customHeight="1" x14ac:dyDescent="0.25">
      <c r="A1412" s="1"/>
      <c r="B1412" s="100"/>
      <c r="C1412" s="22"/>
      <c r="D1412" s="1"/>
      <c r="E1412" s="1"/>
      <c r="F1412" s="1"/>
      <c r="G1412" s="98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5.75" customHeight="1" x14ac:dyDescent="0.25">
      <c r="A1413" s="1"/>
      <c r="B1413" s="100"/>
      <c r="C1413" s="22"/>
      <c r="D1413" s="1"/>
      <c r="E1413" s="1"/>
      <c r="F1413" s="1"/>
      <c r="G1413" s="98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5.75" customHeight="1" x14ac:dyDescent="0.25">
      <c r="A1414" s="1"/>
      <c r="B1414" s="100"/>
      <c r="C1414" s="22"/>
      <c r="D1414" s="1"/>
      <c r="E1414" s="1"/>
      <c r="F1414" s="1"/>
      <c r="G1414" s="98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5.75" customHeight="1" x14ac:dyDescent="0.25">
      <c r="A1415" s="1"/>
      <c r="B1415" s="100"/>
      <c r="C1415" s="22"/>
      <c r="D1415" s="1"/>
      <c r="E1415" s="1"/>
      <c r="F1415" s="1"/>
      <c r="G1415" s="98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5.75" customHeight="1" x14ac:dyDescent="0.25">
      <c r="A1416" s="1"/>
      <c r="B1416" s="100"/>
      <c r="C1416" s="22"/>
      <c r="D1416" s="1"/>
      <c r="E1416" s="1"/>
      <c r="F1416" s="1"/>
      <c r="G1416" s="98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5.75" customHeight="1" x14ac:dyDescent="0.25">
      <c r="A1417" s="1"/>
      <c r="B1417" s="100"/>
      <c r="C1417" s="22"/>
      <c r="D1417" s="1"/>
      <c r="E1417" s="1"/>
      <c r="F1417" s="1"/>
      <c r="G1417" s="98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5.75" customHeight="1" x14ac:dyDescent="0.25">
      <c r="A1418" s="1"/>
      <c r="B1418" s="100"/>
      <c r="C1418" s="22"/>
      <c r="D1418" s="1"/>
      <c r="E1418" s="1"/>
      <c r="F1418" s="1"/>
      <c r="G1418" s="98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5.75" customHeight="1" x14ac:dyDescent="0.25">
      <c r="A1419" s="1"/>
      <c r="B1419" s="100"/>
      <c r="C1419" s="22"/>
      <c r="D1419" s="1"/>
      <c r="E1419" s="1"/>
      <c r="F1419" s="1"/>
      <c r="G1419" s="98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5.75" customHeight="1" x14ac:dyDescent="0.25">
      <c r="A1420" s="1"/>
      <c r="B1420" s="100"/>
      <c r="C1420" s="22"/>
      <c r="D1420" s="1"/>
      <c r="E1420" s="1"/>
      <c r="F1420" s="1"/>
      <c r="G1420" s="98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5.75" customHeight="1" x14ac:dyDescent="0.25">
      <c r="A1421" s="1"/>
      <c r="B1421" s="100"/>
      <c r="C1421" s="22"/>
      <c r="D1421" s="1"/>
      <c r="E1421" s="1"/>
      <c r="F1421" s="1"/>
      <c r="G1421" s="98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5.75" customHeight="1" x14ac:dyDescent="0.25">
      <c r="A1422" s="1"/>
      <c r="B1422" s="100"/>
      <c r="C1422" s="22"/>
      <c r="D1422" s="1"/>
      <c r="E1422" s="1"/>
      <c r="F1422" s="1"/>
      <c r="G1422" s="98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5.75" customHeight="1" x14ac:dyDescent="0.25">
      <c r="A1423" s="1"/>
      <c r="B1423" s="100"/>
      <c r="C1423" s="22"/>
      <c r="D1423" s="1"/>
      <c r="E1423" s="1"/>
      <c r="F1423" s="1"/>
      <c r="G1423" s="98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5.75" customHeight="1" x14ac:dyDescent="0.25">
      <c r="A1424" s="1"/>
      <c r="B1424" s="100"/>
      <c r="C1424" s="22"/>
      <c r="D1424" s="1"/>
      <c r="E1424" s="1"/>
      <c r="F1424" s="1"/>
      <c r="G1424" s="98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5.75" customHeight="1" x14ac:dyDescent="0.25">
      <c r="A1425" s="1"/>
      <c r="B1425" s="100"/>
      <c r="C1425" s="22"/>
      <c r="D1425" s="1"/>
      <c r="E1425" s="1"/>
      <c r="F1425" s="1"/>
      <c r="G1425" s="98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5.75" customHeight="1" x14ac:dyDescent="0.25">
      <c r="A1426" s="1"/>
      <c r="B1426" s="100"/>
      <c r="C1426" s="22"/>
      <c r="D1426" s="1"/>
      <c r="E1426" s="1"/>
      <c r="F1426" s="1"/>
      <c r="G1426" s="98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5.75" customHeight="1" x14ac:dyDescent="0.25">
      <c r="A1427" s="1"/>
      <c r="B1427" s="100"/>
      <c r="C1427" s="22"/>
      <c r="D1427" s="1"/>
      <c r="E1427" s="1"/>
      <c r="F1427" s="1"/>
      <c r="G1427" s="98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5.75" customHeight="1" x14ac:dyDescent="0.25">
      <c r="A1428" s="1"/>
      <c r="B1428" s="100"/>
      <c r="C1428" s="22"/>
      <c r="D1428" s="1"/>
      <c r="E1428" s="1"/>
      <c r="F1428" s="1"/>
      <c r="G1428" s="98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5.75" customHeight="1" x14ac:dyDescent="0.25">
      <c r="A1429" s="1"/>
      <c r="B1429" s="100"/>
      <c r="C1429" s="22"/>
      <c r="D1429" s="1"/>
      <c r="E1429" s="1"/>
      <c r="F1429" s="1"/>
      <c r="G1429" s="98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5.75" customHeight="1" x14ac:dyDescent="0.25">
      <c r="A1430" s="1"/>
      <c r="B1430" s="100"/>
      <c r="C1430" s="22"/>
      <c r="D1430" s="1"/>
      <c r="E1430" s="1"/>
      <c r="F1430" s="1"/>
      <c r="G1430" s="98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5.75" customHeight="1" x14ac:dyDescent="0.25">
      <c r="A1431" s="1"/>
      <c r="B1431" s="100"/>
      <c r="C1431" s="22"/>
      <c r="D1431" s="1"/>
      <c r="E1431" s="1"/>
      <c r="F1431" s="1"/>
      <c r="G1431" s="98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5.75" customHeight="1" x14ac:dyDescent="0.25">
      <c r="A1432" s="1"/>
      <c r="B1432" s="100"/>
      <c r="C1432" s="22"/>
      <c r="D1432" s="1"/>
      <c r="E1432" s="1"/>
      <c r="F1432" s="1"/>
      <c r="G1432" s="98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5.75" customHeight="1" x14ac:dyDescent="0.25">
      <c r="A1433" s="1"/>
      <c r="B1433" s="100"/>
      <c r="C1433" s="22"/>
      <c r="D1433" s="1"/>
      <c r="E1433" s="1"/>
      <c r="F1433" s="1"/>
      <c r="G1433" s="98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5.75" customHeight="1" x14ac:dyDescent="0.25">
      <c r="A1434" s="1"/>
      <c r="B1434" s="100"/>
      <c r="C1434" s="22"/>
      <c r="D1434" s="1"/>
      <c r="E1434" s="1"/>
      <c r="F1434" s="1"/>
      <c r="G1434" s="98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5.75" customHeight="1" x14ac:dyDescent="0.25">
      <c r="A1435" s="1"/>
      <c r="B1435" s="100"/>
      <c r="C1435" s="22"/>
      <c r="D1435" s="1"/>
      <c r="E1435" s="1"/>
      <c r="F1435" s="1"/>
      <c r="G1435" s="98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5.75" customHeight="1" x14ac:dyDescent="0.25">
      <c r="A1436" s="1"/>
      <c r="B1436" s="100"/>
      <c r="C1436" s="22"/>
      <c r="D1436" s="1"/>
      <c r="E1436" s="1"/>
      <c r="F1436" s="1"/>
      <c r="G1436" s="98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5.75" customHeight="1" x14ac:dyDescent="0.25">
      <c r="A1437" s="1"/>
      <c r="B1437" s="100"/>
      <c r="C1437" s="22"/>
      <c r="D1437" s="1"/>
      <c r="E1437" s="1"/>
      <c r="F1437" s="1"/>
      <c r="G1437" s="98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5.75" customHeight="1" x14ac:dyDescent="0.25">
      <c r="A1438" s="1"/>
      <c r="B1438" s="100"/>
      <c r="C1438" s="22"/>
      <c r="D1438" s="1"/>
      <c r="E1438" s="1"/>
      <c r="F1438" s="1"/>
      <c r="G1438" s="98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5.75" customHeight="1" x14ac:dyDescent="0.25">
      <c r="A1439" s="1"/>
      <c r="B1439" s="100"/>
      <c r="C1439" s="22"/>
      <c r="D1439" s="1"/>
      <c r="E1439" s="1"/>
      <c r="F1439" s="1"/>
      <c r="G1439" s="98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5.75" customHeight="1" x14ac:dyDescent="0.25">
      <c r="A1440" s="1"/>
      <c r="B1440" s="100"/>
      <c r="C1440" s="22"/>
      <c r="D1440" s="1"/>
      <c r="E1440" s="1"/>
      <c r="F1440" s="1"/>
      <c r="G1440" s="98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5.75" customHeight="1" x14ac:dyDescent="0.25">
      <c r="A1441" s="1"/>
      <c r="B1441" s="100"/>
      <c r="C1441" s="22"/>
      <c r="D1441" s="1"/>
      <c r="E1441" s="1"/>
      <c r="F1441" s="1"/>
      <c r="G1441" s="98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5.75" customHeight="1" x14ac:dyDescent="0.25">
      <c r="A1442" s="1"/>
      <c r="B1442" s="100"/>
      <c r="C1442" s="22"/>
      <c r="D1442" s="1"/>
      <c r="E1442" s="1"/>
      <c r="F1442" s="1"/>
      <c r="G1442" s="98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5.75" customHeight="1" x14ac:dyDescent="0.25">
      <c r="A1443" s="1"/>
      <c r="B1443" s="100"/>
      <c r="C1443" s="22"/>
      <c r="D1443" s="1"/>
      <c r="E1443" s="1"/>
      <c r="F1443" s="1"/>
      <c r="G1443" s="98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5.75" customHeight="1" x14ac:dyDescent="0.25">
      <c r="A1444" s="1"/>
      <c r="B1444" s="100"/>
      <c r="C1444" s="22"/>
      <c r="D1444" s="1"/>
      <c r="E1444" s="1"/>
      <c r="F1444" s="1"/>
      <c r="G1444" s="98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5.75" customHeight="1" x14ac:dyDescent="0.25">
      <c r="A1445" s="1"/>
      <c r="B1445" s="100"/>
      <c r="C1445" s="22"/>
      <c r="D1445" s="1"/>
      <c r="E1445" s="1"/>
      <c r="F1445" s="1"/>
      <c r="G1445" s="98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5.75" customHeight="1" x14ac:dyDescent="0.25">
      <c r="A1446" s="1"/>
      <c r="B1446" s="100"/>
      <c r="C1446" s="22"/>
      <c r="D1446" s="1"/>
      <c r="E1446" s="1"/>
      <c r="F1446" s="1"/>
      <c r="G1446" s="98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5.75" customHeight="1" x14ac:dyDescent="0.25">
      <c r="A1447" s="1"/>
      <c r="B1447" s="100"/>
      <c r="C1447" s="22"/>
      <c r="D1447" s="1"/>
      <c r="E1447" s="1"/>
      <c r="F1447" s="1"/>
      <c r="G1447" s="98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5.75" customHeight="1" x14ac:dyDescent="0.25">
      <c r="A1448" s="1"/>
      <c r="B1448" s="100"/>
      <c r="C1448" s="22"/>
      <c r="D1448" s="1"/>
      <c r="E1448" s="1"/>
      <c r="F1448" s="1"/>
      <c r="G1448" s="98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5.75" customHeight="1" x14ac:dyDescent="0.25">
      <c r="A1449" s="1"/>
      <c r="B1449" s="100"/>
      <c r="C1449" s="22"/>
      <c r="D1449" s="1"/>
      <c r="E1449" s="1"/>
      <c r="F1449" s="1"/>
      <c r="G1449" s="98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5.75" customHeight="1" x14ac:dyDescent="0.25">
      <c r="A1450" s="1"/>
      <c r="B1450" s="100"/>
      <c r="C1450" s="22"/>
      <c r="D1450" s="1"/>
      <c r="E1450" s="1"/>
      <c r="F1450" s="1"/>
      <c r="G1450" s="98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5.75" customHeight="1" x14ac:dyDescent="0.25">
      <c r="A1451" s="1"/>
      <c r="B1451" s="100"/>
      <c r="C1451" s="22"/>
      <c r="D1451" s="1"/>
      <c r="E1451" s="1"/>
      <c r="F1451" s="1"/>
      <c r="G1451" s="98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5.75" customHeight="1" x14ac:dyDescent="0.25">
      <c r="A1452" s="1"/>
      <c r="B1452" s="100"/>
      <c r="C1452" s="22"/>
      <c r="D1452" s="1"/>
      <c r="E1452" s="1"/>
      <c r="F1452" s="1"/>
      <c r="G1452" s="98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5.75" customHeight="1" x14ac:dyDescent="0.25">
      <c r="A1453" s="1"/>
      <c r="B1453" s="100"/>
      <c r="C1453" s="22"/>
      <c r="D1453" s="1"/>
      <c r="E1453" s="1"/>
      <c r="F1453" s="1"/>
      <c r="G1453" s="98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5.75" customHeight="1" x14ac:dyDescent="0.25">
      <c r="A1454" s="1"/>
      <c r="B1454" s="100"/>
      <c r="C1454" s="22"/>
      <c r="D1454" s="1"/>
      <c r="E1454" s="1"/>
      <c r="F1454" s="1"/>
      <c r="G1454" s="98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5.75" customHeight="1" x14ac:dyDescent="0.25">
      <c r="A1455" s="1"/>
      <c r="B1455" s="100"/>
      <c r="C1455" s="22"/>
      <c r="D1455" s="1"/>
      <c r="E1455" s="1"/>
      <c r="F1455" s="1"/>
      <c r="G1455" s="98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5.75" customHeight="1" x14ac:dyDescent="0.25">
      <c r="A1456" s="1"/>
      <c r="B1456" s="100"/>
      <c r="C1456" s="22"/>
      <c r="D1456" s="1"/>
      <c r="E1456" s="1"/>
      <c r="F1456" s="1"/>
      <c r="G1456" s="98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5.75" customHeight="1" x14ac:dyDescent="0.25">
      <c r="A1457" s="1"/>
      <c r="B1457" s="100"/>
      <c r="C1457" s="22"/>
      <c r="D1457" s="1"/>
      <c r="E1457" s="1"/>
      <c r="F1457" s="1"/>
      <c r="G1457" s="98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5.75" customHeight="1" x14ac:dyDescent="0.25">
      <c r="A1458" s="1"/>
      <c r="B1458" s="100"/>
      <c r="C1458" s="22"/>
      <c r="D1458" s="1"/>
      <c r="E1458" s="1"/>
      <c r="F1458" s="1"/>
      <c r="G1458" s="98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5.75" customHeight="1" x14ac:dyDescent="0.25">
      <c r="A1459" s="1"/>
      <c r="B1459" s="100"/>
      <c r="C1459" s="22"/>
      <c r="D1459" s="1"/>
      <c r="E1459" s="1"/>
      <c r="F1459" s="1"/>
      <c r="G1459" s="98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5.75" customHeight="1" x14ac:dyDescent="0.25">
      <c r="A1460" s="1"/>
      <c r="B1460" s="100"/>
      <c r="C1460" s="22"/>
      <c r="D1460" s="1"/>
      <c r="E1460" s="1"/>
      <c r="F1460" s="1"/>
      <c r="G1460" s="98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5.75" customHeight="1" x14ac:dyDescent="0.25">
      <c r="A1461" s="1"/>
      <c r="B1461" s="100"/>
      <c r="C1461" s="22"/>
      <c r="D1461" s="1"/>
      <c r="E1461" s="1"/>
      <c r="F1461" s="1"/>
      <c r="G1461" s="98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5.75" customHeight="1" x14ac:dyDescent="0.25">
      <c r="A1462" s="1"/>
      <c r="B1462" s="100"/>
      <c r="C1462" s="22"/>
      <c r="D1462" s="1"/>
      <c r="E1462" s="1"/>
      <c r="F1462" s="1"/>
      <c r="G1462" s="98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5.75" customHeight="1" x14ac:dyDescent="0.25">
      <c r="A1463" s="1"/>
      <c r="B1463" s="100"/>
      <c r="C1463" s="22"/>
      <c r="D1463" s="1"/>
      <c r="E1463" s="1"/>
      <c r="F1463" s="1"/>
      <c r="G1463" s="98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5.75" customHeight="1" x14ac:dyDescent="0.25">
      <c r="A1464" s="1"/>
      <c r="B1464" s="100"/>
      <c r="C1464" s="22"/>
      <c r="D1464" s="1"/>
      <c r="E1464" s="1"/>
      <c r="F1464" s="1"/>
      <c r="G1464" s="98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5.75" customHeight="1" x14ac:dyDescent="0.25">
      <c r="A1465" s="1"/>
      <c r="B1465" s="100"/>
      <c r="C1465" s="22"/>
      <c r="D1465" s="1"/>
      <c r="E1465" s="1"/>
      <c r="F1465" s="1"/>
      <c r="G1465" s="98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5.75" customHeight="1" x14ac:dyDescent="0.25">
      <c r="A1466" s="1"/>
      <c r="B1466" s="100"/>
      <c r="C1466" s="22"/>
      <c r="D1466" s="1"/>
      <c r="E1466" s="1"/>
      <c r="F1466" s="1"/>
      <c r="G1466" s="98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5.75" customHeight="1" x14ac:dyDescent="0.25">
      <c r="A1467" s="1"/>
      <c r="B1467" s="100"/>
      <c r="C1467" s="22"/>
      <c r="D1467" s="1"/>
      <c r="E1467" s="1"/>
      <c r="F1467" s="1"/>
      <c r="G1467" s="98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5.75" customHeight="1" x14ac:dyDescent="0.25">
      <c r="A1468" s="1"/>
      <c r="B1468" s="100"/>
      <c r="C1468" s="22"/>
      <c r="D1468" s="1"/>
      <c r="E1468" s="1"/>
      <c r="F1468" s="1"/>
      <c r="G1468" s="98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5.75" customHeight="1" x14ac:dyDescent="0.25">
      <c r="A1469" s="1"/>
      <c r="B1469" s="100"/>
      <c r="C1469" s="22"/>
      <c r="D1469" s="1"/>
      <c r="E1469" s="1"/>
      <c r="F1469" s="1"/>
      <c r="G1469" s="98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5.75" customHeight="1" x14ac:dyDescent="0.25">
      <c r="A1470" s="1"/>
      <c r="B1470" s="100"/>
      <c r="C1470" s="22"/>
      <c r="D1470" s="1"/>
      <c r="E1470" s="1"/>
      <c r="F1470" s="1"/>
      <c r="G1470" s="98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5.75" customHeight="1" x14ac:dyDescent="0.25">
      <c r="A1471" s="1"/>
      <c r="B1471" s="100"/>
      <c r="C1471" s="22"/>
      <c r="D1471" s="1"/>
      <c r="E1471" s="1"/>
      <c r="F1471" s="1"/>
      <c r="G1471" s="98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5.75" customHeight="1" x14ac:dyDescent="0.25">
      <c r="A1472" s="1"/>
      <c r="B1472" s="100"/>
      <c r="C1472" s="22"/>
      <c r="D1472" s="1"/>
      <c r="E1472" s="1"/>
      <c r="F1472" s="1"/>
      <c r="G1472" s="98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5.75" customHeight="1" x14ac:dyDescent="0.25">
      <c r="A1473" s="1"/>
      <c r="B1473" s="100"/>
      <c r="C1473" s="22"/>
      <c r="D1473" s="1"/>
      <c r="E1473" s="1"/>
      <c r="F1473" s="1"/>
      <c r="G1473" s="98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5.75" customHeight="1" x14ac:dyDescent="0.25">
      <c r="A1474" s="1"/>
      <c r="B1474" s="100"/>
      <c r="C1474" s="22"/>
      <c r="D1474" s="1"/>
      <c r="E1474" s="1"/>
      <c r="F1474" s="1"/>
      <c r="G1474" s="98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5.75" customHeight="1" x14ac:dyDescent="0.25">
      <c r="A1475" s="1"/>
      <c r="B1475" s="100"/>
      <c r="C1475" s="22"/>
      <c r="D1475" s="1"/>
      <c r="E1475" s="1"/>
      <c r="F1475" s="1"/>
      <c r="G1475" s="98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5.75" customHeight="1" x14ac:dyDescent="0.25">
      <c r="A1476" s="1"/>
      <c r="B1476" s="100"/>
      <c r="C1476" s="22"/>
      <c r="D1476" s="1"/>
      <c r="E1476" s="1"/>
      <c r="F1476" s="1"/>
      <c r="G1476" s="98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5.75" customHeight="1" x14ac:dyDescent="0.25">
      <c r="A1477" s="1"/>
      <c r="B1477" s="100"/>
      <c r="C1477" s="22"/>
      <c r="D1477" s="1"/>
      <c r="E1477" s="1"/>
      <c r="F1477" s="1"/>
      <c r="G1477" s="98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5.75" customHeight="1" x14ac:dyDescent="0.25">
      <c r="A1478" s="1"/>
      <c r="B1478" s="100"/>
      <c r="C1478" s="22"/>
      <c r="D1478" s="1"/>
      <c r="E1478" s="1"/>
      <c r="F1478" s="1"/>
      <c r="G1478" s="98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5.75" customHeight="1" x14ac:dyDescent="0.25">
      <c r="A1479" s="1"/>
      <c r="B1479" s="100"/>
      <c r="C1479" s="22"/>
      <c r="D1479" s="1"/>
      <c r="E1479" s="1"/>
      <c r="F1479" s="1"/>
      <c r="G1479" s="98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5.75" customHeight="1" x14ac:dyDescent="0.25">
      <c r="A1480" s="1"/>
      <c r="B1480" s="100"/>
      <c r="C1480" s="22"/>
      <c r="D1480" s="1"/>
      <c r="E1480" s="1"/>
      <c r="F1480" s="1"/>
      <c r="G1480" s="98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5.75" customHeight="1" x14ac:dyDescent="0.25">
      <c r="A1481" s="1"/>
      <c r="B1481" s="100"/>
      <c r="C1481" s="22"/>
      <c r="D1481" s="1"/>
      <c r="E1481" s="1"/>
      <c r="F1481" s="1"/>
      <c r="G1481" s="98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5.75" customHeight="1" x14ac:dyDescent="0.25">
      <c r="A1482" s="1"/>
      <c r="B1482" s="100"/>
      <c r="C1482" s="22"/>
      <c r="D1482" s="1"/>
      <c r="E1482" s="1"/>
      <c r="F1482" s="1"/>
      <c r="G1482" s="98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5.75" customHeight="1" x14ac:dyDescent="0.25">
      <c r="A1483" s="1"/>
      <c r="B1483" s="100"/>
      <c r="C1483" s="22"/>
      <c r="D1483" s="1"/>
      <c r="E1483" s="1"/>
      <c r="F1483" s="1"/>
      <c r="G1483" s="98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5.75" customHeight="1" x14ac:dyDescent="0.25">
      <c r="A1484" s="1"/>
      <c r="B1484" s="100"/>
      <c r="C1484" s="22"/>
      <c r="D1484" s="1"/>
      <c r="E1484" s="1"/>
      <c r="F1484" s="1"/>
      <c r="G1484" s="98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5.75" customHeight="1" x14ac:dyDescent="0.25">
      <c r="A1485" s="1"/>
      <c r="B1485" s="100"/>
      <c r="C1485" s="22"/>
      <c r="D1485" s="1"/>
      <c r="E1485" s="1"/>
      <c r="F1485" s="1"/>
      <c r="G1485" s="98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5.75" customHeight="1" x14ac:dyDescent="0.25">
      <c r="A1486" s="1"/>
      <c r="B1486" s="100"/>
      <c r="C1486" s="22"/>
      <c r="D1486" s="1"/>
      <c r="E1486" s="1"/>
      <c r="F1486" s="1"/>
      <c r="G1486" s="98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5.75" customHeight="1" x14ac:dyDescent="0.25">
      <c r="A1487" s="1"/>
      <c r="B1487" s="100"/>
      <c r="C1487" s="22"/>
      <c r="D1487" s="1"/>
      <c r="E1487" s="1"/>
      <c r="F1487" s="1"/>
      <c r="G1487" s="98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5.75" customHeight="1" x14ac:dyDescent="0.25">
      <c r="A1488" s="1"/>
      <c r="B1488" s="100"/>
      <c r="C1488" s="22"/>
      <c r="D1488" s="1"/>
      <c r="E1488" s="1"/>
      <c r="F1488" s="1"/>
      <c r="G1488" s="98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5.75" customHeight="1" x14ac:dyDescent="0.25">
      <c r="A1489" s="1"/>
      <c r="B1489" s="100"/>
      <c r="C1489" s="22"/>
      <c r="D1489" s="1"/>
      <c r="E1489" s="1"/>
      <c r="F1489" s="1"/>
      <c r="G1489" s="98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5.75" customHeight="1" x14ac:dyDescent="0.25">
      <c r="A1490" s="1"/>
      <c r="B1490" s="100"/>
      <c r="C1490" s="22"/>
      <c r="D1490" s="1"/>
      <c r="E1490" s="1"/>
      <c r="F1490" s="1"/>
      <c r="G1490" s="98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5.75" customHeight="1" x14ac:dyDescent="0.25">
      <c r="A1491" s="1"/>
      <c r="B1491" s="100"/>
      <c r="C1491" s="22"/>
      <c r="D1491" s="1"/>
      <c r="E1491" s="1"/>
      <c r="F1491" s="1"/>
      <c r="G1491" s="98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5.75" customHeight="1" x14ac:dyDescent="0.25">
      <c r="A1492" s="1"/>
      <c r="B1492" s="100"/>
      <c r="C1492" s="22"/>
      <c r="D1492" s="1"/>
      <c r="E1492" s="1"/>
      <c r="F1492" s="1"/>
      <c r="G1492" s="98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5.75" customHeight="1" x14ac:dyDescent="0.25">
      <c r="A1493" s="1"/>
      <c r="B1493" s="100"/>
      <c r="C1493" s="22"/>
      <c r="D1493" s="1"/>
      <c r="E1493" s="1"/>
      <c r="F1493" s="1"/>
      <c r="G1493" s="98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5.75" customHeight="1" x14ac:dyDescent="0.25">
      <c r="A1494" s="1"/>
      <c r="B1494" s="100"/>
      <c r="C1494" s="22"/>
      <c r="D1494" s="1"/>
      <c r="E1494" s="1"/>
      <c r="F1494" s="1"/>
      <c r="G1494" s="98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5.75" customHeight="1" x14ac:dyDescent="0.25">
      <c r="A1495" s="1"/>
      <c r="B1495" s="100"/>
      <c r="C1495" s="22"/>
      <c r="D1495" s="1"/>
      <c r="E1495" s="1"/>
      <c r="F1495" s="1"/>
      <c r="G1495" s="98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5.75" customHeight="1" x14ac:dyDescent="0.25">
      <c r="A1496" s="1"/>
      <c r="B1496" s="100"/>
      <c r="C1496" s="22"/>
      <c r="D1496" s="1"/>
      <c r="E1496" s="1"/>
      <c r="F1496" s="1"/>
      <c r="G1496" s="98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5.75" customHeight="1" x14ac:dyDescent="0.25">
      <c r="A1497" s="1"/>
      <c r="B1497" s="100"/>
      <c r="C1497" s="22"/>
      <c r="D1497" s="1"/>
      <c r="E1497" s="1"/>
      <c r="F1497" s="1"/>
      <c r="G1497" s="98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5.75" customHeight="1" x14ac:dyDescent="0.25">
      <c r="A1498" s="1"/>
      <c r="B1498" s="100"/>
      <c r="C1498" s="22"/>
      <c r="D1498" s="1"/>
      <c r="E1498" s="1"/>
      <c r="F1498" s="1"/>
      <c r="G1498" s="98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5.75" customHeight="1" x14ac:dyDescent="0.25">
      <c r="A1499" s="1"/>
      <c r="B1499" s="100"/>
      <c r="C1499" s="22"/>
      <c r="D1499" s="1"/>
      <c r="E1499" s="1"/>
      <c r="F1499" s="1"/>
      <c r="G1499" s="98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5.75" customHeight="1" x14ac:dyDescent="0.25">
      <c r="A1500" s="1"/>
      <c r="B1500" s="100"/>
      <c r="C1500" s="22"/>
      <c r="D1500" s="1"/>
      <c r="E1500" s="1"/>
      <c r="F1500" s="1"/>
      <c r="G1500" s="98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5.75" customHeight="1" x14ac:dyDescent="0.25">
      <c r="A1501" s="1"/>
      <c r="B1501" s="100"/>
      <c r="C1501" s="22"/>
      <c r="D1501" s="1"/>
      <c r="E1501" s="1"/>
      <c r="F1501" s="1"/>
      <c r="G1501" s="98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5.75" customHeight="1" x14ac:dyDescent="0.25">
      <c r="A1502" s="1"/>
      <c r="B1502" s="100"/>
      <c r="C1502" s="22"/>
      <c r="D1502" s="1"/>
      <c r="E1502" s="1"/>
      <c r="F1502" s="1"/>
      <c r="G1502" s="98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5.75" customHeight="1" x14ac:dyDescent="0.25">
      <c r="A1503" s="1"/>
      <c r="B1503" s="100"/>
      <c r="C1503" s="22"/>
      <c r="D1503" s="1"/>
      <c r="E1503" s="1"/>
      <c r="F1503" s="1"/>
      <c r="G1503" s="98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5.75" customHeight="1" x14ac:dyDescent="0.25">
      <c r="A1504" s="1"/>
      <c r="B1504" s="100"/>
      <c r="C1504" s="22"/>
      <c r="D1504" s="1"/>
      <c r="E1504" s="1"/>
      <c r="F1504" s="1"/>
      <c r="G1504" s="98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5.75" customHeight="1" x14ac:dyDescent="0.25">
      <c r="A1505" s="1"/>
      <c r="B1505" s="100"/>
      <c r="C1505" s="22"/>
      <c r="D1505" s="1"/>
      <c r="E1505" s="1"/>
      <c r="F1505" s="1"/>
      <c r="G1505" s="98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5.75" customHeight="1" x14ac:dyDescent="0.25">
      <c r="A1506" s="1"/>
      <c r="B1506" s="100"/>
      <c r="C1506" s="22"/>
      <c r="D1506" s="1"/>
      <c r="E1506" s="1"/>
      <c r="F1506" s="1"/>
      <c r="G1506" s="98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5.75" customHeight="1" x14ac:dyDescent="0.25">
      <c r="A1507" s="1"/>
      <c r="B1507" s="100"/>
      <c r="C1507" s="22"/>
      <c r="D1507" s="1"/>
      <c r="E1507" s="1"/>
      <c r="F1507" s="1"/>
      <c r="G1507" s="98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5.75" customHeight="1" x14ac:dyDescent="0.25">
      <c r="A1508" s="1"/>
      <c r="B1508" s="100"/>
      <c r="C1508" s="22"/>
      <c r="D1508" s="1"/>
      <c r="E1508" s="1"/>
      <c r="F1508" s="1"/>
      <c r="G1508" s="98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5.75" customHeight="1" x14ac:dyDescent="0.25">
      <c r="A1509" s="1"/>
      <c r="B1509" s="100"/>
      <c r="C1509" s="22"/>
      <c r="D1509" s="1"/>
      <c r="E1509" s="1"/>
      <c r="F1509" s="1"/>
      <c r="G1509" s="98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5.75" customHeight="1" x14ac:dyDescent="0.25">
      <c r="A1510" s="1"/>
      <c r="B1510" s="100"/>
      <c r="C1510" s="22"/>
      <c r="D1510" s="1"/>
      <c r="E1510" s="1"/>
      <c r="F1510" s="1"/>
      <c r="G1510" s="98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5.75" customHeight="1" x14ac:dyDescent="0.25">
      <c r="A1511" s="1"/>
      <c r="B1511" s="100"/>
      <c r="C1511" s="22"/>
      <c r="D1511" s="1"/>
      <c r="E1511" s="1"/>
      <c r="F1511" s="1"/>
      <c r="G1511" s="98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5.75" customHeight="1" x14ac:dyDescent="0.25">
      <c r="A1512" s="1"/>
      <c r="B1512" s="100"/>
      <c r="C1512" s="22"/>
      <c r="D1512" s="1"/>
      <c r="E1512" s="1"/>
      <c r="F1512" s="1"/>
      <c r="G1512" s="98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5.75" customHeight="1" x14ac:dyDescent="0.25">
      <c r="A1513" s="1"/>
      <c r="B1513" s="100"/>
      <c r="C1513" s="22"/>
      <c r="D1513" s="1"/>
      <c r="E1513" s="1"/>
      <c r="F1513" s="1"/>
      <c r="G1513" s="98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5.75" customHeight="1" x14ac:dyDescent="0.25">
      <c r="A1514" s="1"/>
      <c r="B1514" s="100"/>
      <c r="C1514" s="22"/>
      <c r="D1514" s="1"/>
      <c r="E1514" s="1"/>
      <c r="F1514" s="1"/>
      <c r="G1514" s="98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5.75" customHeight="1" x14ac:dyDescent="0.25">
      <c r="A1515" s="1"/>
      <c r="B1515" s="100"/>
      <c r="C1515" s="22"/>
      <c r="D1515" s="1"/>
      <c r="E1515" s="1"/>
      <c r="F1515" s="1"/>
      <c r="G1515" s="98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5.75" customHeight="1" x14ac:dyDescent="0.25">
      <c r="A1516" s="1"/>
      <c r="B1516" s="100"/>
      <c r="C1516" s="22"/>
      <c r="D1516" s="1"/>
      <c r="E1516" s="1"/>
      <c r="F1516" s="1"/>
      <c r="G1516" s="98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5.75" customHeight="1" x14ac:dyDescent="0.25">
      <c r="A1517" s="1"/>
      <c r="B1517" s="100"/>
      <c r="C1517" s="22"/>
      <c r="D1517" s="1"/>
      <c r="E1517" s="1"/>
      <c r="F1517" s="1"/>
      <c r="G1517" s="98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5.75" customHeight="1" x14ac:dyDescent="0.25">
      <c r="A1518" s="1"/>
      <c r="B1518" s="100"/>
      <c r="C1518" s="22"/>
      <c r="D1518" s="1"/>
      <c r="E1518" s="1"/>
      <c r="F1518" s="1"/>
      <c r="G1518" s="98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5.75" customHeight="1" x14ac:dyDescent="0.25">
      <c r="A1519" s="1"/>
      <c r="B1519" s="100"/>
      <c r="C1519" s="22"/>
      <c r="D1519" s="1"/>
      <c r="E1519" s="1"/>
      <c r="F1519" s="1"/>
      <c r="G1519" s="98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5.75" customHeight="1" x14ac:dyDescent="0.25">
      <c r="A1520" s="1"/>
      <c r="B1520" s="100"/>
      <c r="C1520" s="22"/>
      <c r="D1520" s="1"/>
      <c r="E1520" s="1"/>
      <c r="F1520" s="1"/>
      <c r="G1520" s="98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5.75" customHeight="1" x14ac:dyDescent="0.25">
      <c r="A1521" s="1"/>
      <c r="B1521" s="100"/>
      <c r="C1521" s="22"/>
      <c r="D1521" s="1"/>
      <c r="E1521" s="1"/>
      <c r="F1521" s="1"/>
      <c r="G1521" s="98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5.75" customHeight="1" x14ac:dyDescent="0.25">
      <c r="A1522" s="1"/>
      <c r="B1522" s="100"/>
      <c r="C1522" s="22"/>
      <c r="D1522" s="1"/>
      <c r="E1522" s="1"/>
      <c r="F1522" s="1"/>
      <c r="G1522" s="98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5.75" customHeight="1" x14ac:dyDescent="0.25">
      <c r="A1523" s="1"/>
      <c r="B1523" s="100"/>
      <c r="C1523" s="22"/>
      <c r="D1523" s="1"/>
      <c r="E1523" s="1"/>
      <c r="F1523" s="1"/>
      <c r="G1523" s="98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5.75" customHeight="1" x14ac:dyDescent="0.25">
      <c r="A1524" s="1"/>
      <c r="B1524" s="100"/>
      <c r="C1524" s="22"/>
      <c r="D1524" s="1"/>
      <c r="E1524" s="1"/>
      <c r="F1524" s="1"/>
      <c r="G1524" s="98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5.75" customHeight="1" x14ac:dyDescent="0.25">
      <c r="A1525" s="1"/>
      <c r="B1525" s="100"/>
      <c r="C1525" s="22"/>
      <c r="D1525" s="1"/>
      <c r="E1525" s="1"/>
      <c r="F1525" s="1"/>
      <c r="G1525" s="98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5.75" customHeight="1" x14ac:dyDescent="0.25">
      <c r="A1526" s="1"/>
      <c r="B1526" s="100"/>
      <c r="C1526" s="22"/>
      <c r="D1526" s="1"/>
      <c r="E1526" s="1"/>
      <c r="F1526" s="1"/>
      <c r="G1526" s="98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5.75" customHeight="1" x14ac:dyDescent="0.25">
      <c r="A1527" s="1"/>
      <c r="B1527" s="100"/>
      <c r="C1527" s="22"/>
      <c r="D1527" s="1"/>
      <c r="E1527" s="1"/>
      <c r="F1527" s="1"/>
      <c r="G1527" s="98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5.75" customHeight="1" x14ac:dyDescent="0.25">
      <c r="A1528" s="1"/>
      <c r="B1528" s="100"/>
      <c r="C1528" s="22"/>
      <c r="D1528" s="1"/>
      <c r="E1528" s="1"/>
      <c r="F1528" s="1"/>
      <c r="G1528" s="98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5.75" customHeight="1" x14ac:dyDescent="0.25">
      <c r="A1529" s="1"/>
      <c r="B1529" s="100"/>
      <c r="C1529" s="22"/>
      <c r="D1529" s="1"/>
      <c r="E1529" s="1"/>
      <c r="F1529" s="1"/>
      <c r="G1529" s="98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5.75" customHeight="1" x14ac:dyDescent="0.25">
      <c r="A1530" s="1"/>
      <c r="B1530" s="100"/>
      <c r="C1530" s="22"/>
      <c r="D1530" s="1"/>
      <c r="E1530" s="1"/>
      <c r="F1530" s="1"/>
      <c r="G1530" s="98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5.75" customHeight="1" x14ac:dyDescent="0.25">
      <c r="A1531" s="1"/>
      <c r="B1531" s="100"/>
      <c r="C1531" s="22"/>
      <c r="D1531" s="1"/>
      <c r="E1531" s="1"/>
      <c r="F1531" s="1"/>
      <c r="G1531" s="98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5.75" customHeight="1" x14ac:dyDescent="0.25">
      <c r="A1532" s="1"/>
      <c r="B1532" s="100"/>
      <c r="C1532" s="22"/>
      <c r="D1532" s="1"/>
      <c r="E1532" s="1"/>
      <c r="F1532" s="1"/>
      <c r="G1532" s="98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5.75" customHeight="1" x14ac:dyDescent="0.25">
      <c r="A1533" s="1"/>
      <c r="B1533" s="100"/>
      <c r="C1533" s="22"/>
      <c r="D1533" s="1"/>
      <c r="E1533" s="1"/>
      <c r="F1533" s="1"/>
      <c r="G1533" s="98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5.75" customHeight="1" x14ac:dyDescent="0.25">
      <c r="A1534" s="1"/>
      <c r="B1534" s="100"/>
      <c r="C1534" s="22"/>
      <c r="D1534" s="1"/>
      <c r="E1534" s="1"/>
      <c r="F1534" s="1"/>
      <c r="G1534" s="98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5.75" customHeight="1" x14ac:dyDescent="0.25">
      <c r="A1535" s="1"/>
      <c r="B1535" s="100"/>
      <c r="C1535" s="22"/>
      <c r="D1535" s="1"/>
      <c r="E1535" s="1"/>
      <c r="F1535" s="1"/>
      <c r="G1535" s="98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5.75" customHeight="1" x14ac:dyDescent="0.25">
      <c r="A1536" s="1"/>
      <c r="B1536" s="100"/>
      <c r="C1536" s="22"/>
      <c r="D1536" s="1"/>
      <c r="E1536" s="1"/>
      <c r="F1536" s="1"/>
      <c r="G1536" s="98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5.75" customHeight="1" x14ac:dyDescent="0.25">
      <c r="A1537" s="1"/>
      <c r="B1537" s="100"/>
      <c r="C1537" s="22"/>
      <c r="D1537" s="1"/>
      <c r="E1537" s="1"/>
      <c r="F1537" s="1"/>
      <c r="G1537" s="98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5.75" customHeight="1" x14ac:dyDescent="0.25">
      <c r="A1538" s="1"/>
      <c r="B1538" s="100"/>
      <c r="C1538" s="22"/>
      <c r="D1538" s="1"/>
      <c r="E1538" s="1"/>
      <c r="F1538" s="1"/>
      <c r="G1538" s="98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5.75" customHeight="1" x14ac:dyDescent="0.25">
      <c r="A1539" s="1"/>
      <c r="B1539" s="100"/>
      <c r="C1539" s="22"/>
      <c r="D1539" s="1"/>
      <c r="E1539" s="1"/>
      <c r="F1539" s="1"/>
      <c r="G1539" s="98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5.75" customHeight="1" x14ac:dyDescent="0.25">
      <c r="A1540" s="1"/>
      <c r="B1540" s="100"/>
      <c r="C1540" s="22"/>
      <c r="D1540" s="1"/>
      <c r="E1540" s="1"/>
      <c r="F1540" s="1"/>
      <c r="G1540" s="98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5.75" customHeight="1" x14ac:dyDescent="0.25">
      <c r="A1541" s="1"/>
      <c r="B1541" s="100"/>
      <c r="C1541" s="22"/>
      <c r="D1541" s="1"/>
      <c r="E1541" s="1"/>
      <c r="F1541" s="1"/>
      <c r="G1541" s="98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5.75" customHeight="1" x14ac:dyDescent="0.25">
      <c r="A1542" s="1"/>
      <c r="B1542" s="100"/>
      <c r="C1542" s="22"/>
      <c r="D1542" s="1"/>
      <c r="E1542" s="1"/>
      <c r="F1542" s="1"/>
      <c r="G1542" s="98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5.75" customHeight="1" x14ac:dyDescent="0.25">
      <c r="A1543" s="1"/>
      <c r="B1543" s="100"/>
      <c r="C1543" s="22"/>
      <c r="D1543" s="1"/>
      <c r="E1543" s="1"/>
      <c r="F1543" s="1"/>
      <c r="G1543" s="98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5.75" customHeight="1" x14ac:dyDescent="0.25">
      <c r="A1544" s="1"/>
      <c r="B1544" s="100"/>
      <c r="C1544" s="22"/>
      <c r="D1544" s="1"/>
      <c r="E1544" s="1"/>
      <c r="F1544" s="1"/>
      <c r="G1544" s="98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5.75" customHeight="1" x14ac:dyDescent="0.25">
      <c r="A1545" s="1"/>
      <c r="B1545" s="100"/>
      <c r="C1545" s="22"/>
      <c r="D1545" s="1"/>
      <c r="E1545" s="1"/>
      <c r="F1545" s="1"/>
      <c r="G1545" s="98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5.75" customHeight="1" x14ac:dyDescent="0.25">
      <c r="A1546" s="1"/>
      <c r="B1546" s="100"/>
      <c r="C1546" s="22"/>
      <c r="D1546" s="1"/>
      <c r="E1546" s="1"/>
      <c r="F1546" s="1"/>
      <c r="G1546" s="98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5.75" customHeight="1" x14ac:dyDescent="0.25">
      <c r="A1547" s="1"/>
      <c r="B1547" s="100"/>
      <c r="C1547" s="22"/>
      <c r="D1547" s="1"/>
      <c r="E1547" s="1"/>
      <c r="F1547" s="1"/>
      <c r="G1547" s="98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5.75" customHeight="1" x14ac:dyDescent="0.25">
      <c r="A1548" s="1"/>
      <c r="B1548" s="100"/>
      <c r="C1548" s="22"/>
      <c r="D1548" s="1"/>
      <c r="E1548" s="1"/>
      <c r="F1548" s="1"/>
      <c r="G1548" s="98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5.75" customHeight="1" x14ac:dyDescent="0.25">
      <c r="A1549" s="1"/>
      <c r="B1549" s="100"/>
      <c r="C1549" s="22"/>
      <c r="D1549" s="1"/>
      <c r="E1549" s="1"/>
      <c r="F1549" s="1"/>
      <c r="G1549" s="98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5.75" customHeight="1" x14ac:dyDescent="0.25">
      <c r="A1550" s="1"/>
      <c r="B1550" s="100"/>
      <c r="C1550" s="22"/>
      <c r="D1550" s="1"/>
      <c r="E1550" s="1"/>
      <c r="F1550" s="1"/>
      <c r="G1550" s="98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5.75" customHeight="1" x14ac:dyDescent="0.25">
      <c r="A1551" s="1"/>
      <c r="B1551" s="100"/>
      <c r="C1551" s="22"/>
      <c r="D1551" s="1"/>
      <c r="E1551" s="1"/>
      <c r="F1551" s="1"/>
      <c r="G1551" s="98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5.75" customHeight="1" x14ac:dyDescent="0.25">
      <c r="A1552" s="1"/>
      <c r="B1552" s="100"/>
      <c r="C1552" s="22"/>
      <c r="D1552" s="1"/>
      <c r="E1552" s="1"/>
      <c r="F1552" s="1"/>
      <c r="G1552" s="98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5.75" customHeight="1" x14ac:dyDescent="0.25">
      <c r="A1553" s="1"/>
      <c r="B1553" s="100"/>
      <c r="C1553" s="22"/>
      <c r="D1553" s="1"/>
      <c r="E1553" s="1"/>
      <c r="F1553" s="1"/>
      <c r="G1553" s="98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5.75" customHeight="1" x14ac:dyDescent="0.25">
      <c r="A1554" s="1"/>
      <c r="B1554" s="100"/>
      <c r="C1554" s="22"/>
      <c r="D1554" s="1"/>
      <c r="E1554" s="1"/>
      <c r="F1554" s="1"/>
      <c r="G1554" s="98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5.75" customHeight="1" x14ac:dyDescent="0.25">
      <c r="A1555" s="1"/>
      <c r="B1555" s="100"/>
      <c r="C1555" s="22"/>
      <c r="D1555" s="1"/>
      <c r="E1555" s="1"/>
      <c r="F1555" s="1"/>
      <c r="G1555" s="98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5.75" customHeight="1" x14ac:dyDescent="0.25">
      <c r="A1556" s="1"/>
      <c r="B1556" s="100"/>
      <c r="C1556" s="22"/>
      <c r="D1556" s="1"/>
      <c r="E1556" s="1"/>
      <c r="F1556" s="1"/>
      <c r="G1556" s="98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5.75" customHeight="1" x14ac:dyDescent="0.25">
      <c r="A1557" s="1"/>
      <c r="B1557" s="100"/>
      <c r="C1557" s="22"/>
      <c r="D1557" s="1"/>
      <c r="E1557" s="1"/>
      <c r="F1557" s="1"/>
      <c r="G1557" s="98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5.75" customHeight="1" x14ac:dyDescent="0.25">
      <c r="A1558" s="1"/>
      <c r="B1558" s="100"/>
      <c r="C1558" s="22"/>
      <c r="D1558" s="1"/>
      <c r="E1558" s="1"/>
      <c r="F1558" s="1"/>
      <c r="G1558" s="98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5.75" customHeight="1" x14ac:dyDescent="0.25">
      <c r="A1559" s="1"/>
      <c r="B1559" s="100"/>
      <c r="C1559" s="22"/>
      <c r="D1559" s="1"/>
      <c r="E1559" s="1"/>
      <c r="F1559" s="1"/>
      <c r="G1559" s="98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5.75" customHeight="1" x14ac:dyDescent="0.25">
      <c r="A1560" s="1"/>
      <c r="B1560" s="100"/>
      <c r="C1560" s="22"/>
      <c r="D1560" s="1"/>
      <c r="E1560" s="1"/>
      <c r="F1560" s="1"/>
      <c r="G1560" s="98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5.75" customHeight="1" x14ac:dyDescent="0.25">
      <c r="A1561" s="1"/>
      <c r="B1561" s="100"/>
      <c r="C1561" s="22"/>
      <c r="D1561" s="1"/>
      <c r="E1561" s="1"/>
      <c r="F1561" s="1"/>
      <c r="G1561" s="98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5.75" customHeight="1" x14ac:dyDescent="0.25">
      <c r="A1562" s="1"/>
      <c r="B1562" s="100"/>
      <c r="C1562" s="22"/>
      <c r="D1562" s="1"/>
      <c r="E1562" s="1"/>
      <c r="F1562" s="1"/>
      <c r="G1562" s="98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5.75" customHeight="1" x14ac:dyDescent="0.25">
      <c r="A1563" s="1"/>
      <c r="B1563" s="100"/>
      <c r="C1563" s="22"/>
      <c r="D1563" s="1"/>
      <c r="E1563" s="1"/>
      <c r="F1563" s="1"/>
      <c r="G1563" s="98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5.75" customHeight="1" x14ac:dyDescent="0.25">
      <c r="A1564" s="1"/>
      <c r="B1564" s="100"/>
      <c r="C1564" s="22"/>
      <c r="D1564" s="1"/>
      <c r="E1564" s="1"/>
      <c r="F1564" s="1"/>
      <c r="G1564" s="98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5.75" customHeight="1" x14ac:dyDescent="0.25">
      <c r="A1565" s="1"/>
      <c r="B1565" s="100"/>
      <c r="C1565" s="22"/>
      <c r="D1565" s="1"/>
      <c r="E1565" s="1"/>
      <c r="F1565" s="1"/>
      <c r="G1565" s="98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5.75" customHeight="1" x14ac:dyDescent="0.25">
      <c r="A1566" s="1"/>
      <c r="B1566" s="100"/>
      <c r="C1566" s="22"/>
      <c r="D1566" s="1"/>
      <c r="E1566" s="1"/>
      <c r="F1566" s="1"/>
      <c r="G1566" s="98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5.75" customHeight="1" x14ac:dyDescent="0.25">
      <c r="A1567" s="1"/>
      <c r="B1567" s="100"/>
      <c r="C1567" s="22"/>
      <c r="D1567" s="1"/>
      <c r="E1567" s="1"/>
      <c r="F1567" s="1"/>
      <c r="G1567" s="98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5.75" customHeight="1" x14ac:dyDescent="0.25">
      <c r="A1568" s="1"/>
      <c r="B1568" s="100"/>
      <c r="C1568" s="22"/>
      <c r="D1568" s="1"/>
      <c r="E1568" s="1"/>
      <c r="F1568" s="1"/>
      <c r="G1568" s="98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5.75" customHeight="1" x14ac:dyDescent="0.25">
      <c r="A1569" s="1"/>
      <c r="B1569" s="100"/>
      <c r="C1569" s="22"/>
      <c r="D1569" s="1"/>
      <c r="E1569" s="1"/>
      <c r="F1569" s="1"/>
      <c r="G1569" s="98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5.75" customHeight="1" x14ac:dyDescent="0.25">
      <c r="A1570" s="1"/>
      <c r="B1570" s="100"/>
      <c r="C1570" s="22"/>
      <c r="D1570" s="1"/>
      <c r="E1570" s="1"/>
      <c r="F1570" s="1"/>
      <c r="G1570" s="98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5.75" customHeight="1" x14ac:dyDescent="0.25">
      <c r="A1571" s="1"/>
      <c r="B1571" s="100"/>
      <c r="C1571" s="22"/>
      <c r="D1571" s="1"/>
      <c r="E1571" s="1"/>
      <c r="F1571" s="1"/>
      <c r="G1571" s="98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5.75" customHeight="1" x14ac:dyDescent="0.25">
      <c r="A1572" s="1"/>
      <c r="B1572" s="100"/>
      <c r="C1572" s="22"/>
      <c r="D1572" s="1"/>
      <c r="E1572" s="1"/>
      <c r="F1572" s="1"/>
      <c r="G1572" s="98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5.75" customHeight="1" x14ac:dyDescent="0.25">
      <c r="A1573" s="1"/>
      <c r="B1573" s="100"/>
      <c r="C1573" s="22"/>
      <c r="D1573" s="1"/>
      <c r="E1573" s="1"/>
      <c r="F1573" s="1"/>
      <c r="G1573" s="98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5.75" customHeight="1" x14ac:dyDescent="0.25">
      <c r="A1574" s="1"/>
      <c r="B1574" s="100"/>
      <c r="C1574" s="22"/>
      <c r="D1574" s="1"/>
      <c r="E1574" s="1"/>
      <c r="F1574" s="1"/>
      <c r="G1574" s="98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5.75" customHeight="1" x14ac:dyDescent="0.25">
      <c r="A1575" s="1"/>
      <c r="B1575" s="100"/>
      <c r="C1575" s="22"/>
      <c r="D1575" s="1"/>
      <c r="E1575" s="1"/>
      <c r="F1575" s="1"/>
      <c r="G1575" s="98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5.75" customHeight="1" x14ac:dyDescent="0.25">
      <c r="A1576" s="1"/>
      <c r="B1576" s="100"/>
      <c r="C1576" s="22"/>
      <c r="D1576" s="1"/>
      <c r="E1576" s="1"/>
      <c r="F1576" s="1"/>
      <c r="G1576" s="98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5.75" customHeight="1" x14ac:dyDescent="0.25">
      <c r="A1577" s="1"/>
      <c r="B1577" s="100"/>
      <c r="C1577" s="22"/>
      <c r="D1577" s="1"/>
      <c r="E1577" s="1"/>
      <c r="F1577" s="1"/>
      <c r="G1577" s="98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5.75" customHeight="1" x14ac:dyDescent="0.25">
      <c r="A1578" s="1"/>
      <c r="B1578" s="100"/>
      <c r="C1578" s="22"/>
      <c r="D1578" s="1"/>
      <c r="E1578" s="1"/>
      <c r="F1578" s="1"/>
      <c r="G1578" s="98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5.75" customHeight="1" x14ac:dyDescent="0.25">
      <c r="A1579" s="1"/>
      <c r="B1579" s="100"/>
      <c r="C1579" s="22"/>
      <c r="D1579" s="1"/>
      <c r="E1579" s="1"/>
      <c r="F1579" s="1"/>
      <c r="G1579" s="98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5.75" customHeight="1" x14ac:dyDescent="0.25">
      <c r="A1580" s="1"/>
      <c r="B1580" s="100"/>
      <c r="C1580" s="22"/>
      <c r="D1580" s="1"/>
      <c r="E1580" s="1"/>
      <c r="F1580" s="1"/>
      <c r="G1580" s="98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5.75" customHeight="1" x14ac:dyDescent="0.25">
      <c r="A1581" s="1"/>
      <c r="B1581" s="100"/>
      <c r="C1581" s="22"/>
      <c r="D1581" s="1"/>
      <c r="E1581" s="1"/>
      <c r="F1581" s="1"/>
      <c r="G1581" s="98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5.75" customHeight="1" x14ac:dyDescent="0.25">
      <c r="A1582" s="1"/>
      <c r="B1582" s="100"/>
      <c r="C1582" s="22"/>
      <c r="D1582" s="1"/>
      <c r="E1582" s="1"/>
      <c r="F1582" s="1"/>
      <c r="G1582" s="98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5.75" customHeight="1" x14ac:dyDescent="0.25">
      <c r="A1583" s="1"/>
      <c r="B1583" s="100"/>
      <c r="C1583" s="22"/>
      <c r="D1583" s="1"/>
      <c r="E1583" s="1"/>
      <c r="F1583" s="1"/>
      <c r="G1583" s="98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5.75" customHeight="1" x14ac:dyDescent="0.25">
      <c r="A1584" s="1"/>
      <c r="B1584" s="100"/>
      <c r="C1584" s="22"/>
      <c r="D1584" s="1"/>
      <c r="E1584" s="1"/>
      <c r="F1584" s="1"/>
      <c r="G1584" s="98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5.75" customHeight="1" x14ac:dyDescent="0.25">
      <c r="A1585" s="1"/>
      <c r="B1585" s="100"/>
      <c r="C1585" s="22"/>
      <c r="D1585" s="1"/>
      <c r="E1585" s="1"/>
      <c r="F1585" s="1"/>
      <c r="G1585" s="98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5.75" customHeight="1" x14ac:dyDescent="0.25">
      <c r="A1586" s="1"/>
      <c r="B1586" s="100"/>
      <c r="C1586" s="22"/>
      <c r="D1586" s="1"/>
      <c r="E1586" s="1"/>
      <c r="F1586" s="1"/>
      <c r="G1586" s="98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5.75" customHeight="1" x14ac:dyDescent="0.25">
      <c r="A1587" s="1"/>
      <c r="B1587" s="100"/>
      <c r="C1587" s="22"/>
      <c r="D1587" s="1"/>
      <c r="E1587" s="1"/>
      <c r="F1587" s="1"/>
      <c r="G1587" s="98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5.75" customHeight="1" x14ac:dyDescent="0.25">
      <c r="A1588" s="1"/>
      <c r="B1588" s="100"/>
      <c r="C1588" s="22"/>
      <c r="D1588" s="1"/>
      <c r="E1588" s="1"/>
      <c r="F1588" s="1"/>
      <c r="G1588" s="98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5.75" customHeight="1" x14ac:dyDescent="0.25">
      <c r="A1589" s="1"/>
      <c r="B1589" s="100"/>
      <c r="C1589" s="22"/>
      <c r="D1589" s="1"/>
      <c r="E1589" s="1"/>
      <c r="F1589" s="1"/>
      <c r="G1589" s="98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5.75" customHeight="1" x14ac:dyDescent="0.25">
      <c r="A1590" s="1"/>
      <c r="B1590" s="100"/>
      <c r="C1590" s="22"/>
      <c r="D1590" s="1"/>
      <c r="E1590" s="1"/>
      <c r="F1590" s="1"/>
      <c r="G1590" s="98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5.75" customHeight="1" x14ac:dyDescent="0.25">
      <c r="A1591" s="1"/>
      <c r="B1591" s="100"/>
      <c r="C1591" s="22"/>
      <c r="D1591" s="1"/>
      <c r="E1591" s="1"/>
      <c r="F1591" s="1"/>
      <c r="G1591" s="98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5.75" customHeight="1" x14ac:dyDescent="0.25">
      <c r="A1592" s="1"/>
      <c r="B1592" s="100"/>
      <c r="C1592" s="22"/>
      <c r="D1592" s="1"/>
      <c r="E1592" s="1"/>
      <c r="F1592" s="1"/>
      <c r="G1592" s="98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5.75" customHeight="1" x14ac:dyDescent="0.25">
      <c r="A1593" s="1"/>
      <c r="B1593" s="100"/>
      <c r="C1593" s="22"/>
      <c r="D1593" s="1"/>
      <c r="E1593" s="1"/>
      <c r="F1593" s="1"/>
      <c r="G1593" s="98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5.75" customHeight="1" x14ac:dyDescent="0.25">
      <c r="A1594" s="1"/>
      <c r="B1594" s="100"/>
      <c r="C1594" s="22"/>
      <c r="D1594" s="1"/>
      <c r="E1594" s="1"/>
      <c r="F1594" s="1"/>
      <c r="G1594" s="98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5.75" customHeight="1" x14ac:dyDescent="0.25">
      <c r="A1595" s="1"/>
      <c r="B1595" s="100"/>
      <c r="C1595" s="22"/>
      <c r="D1595" s="1"/>
      <c r="E1595" s="1"/>
      <c r="F1595" s="1"/>
      <c r="G1595" s="98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5.75" customHeight="1" x14ac:dyDescent="0.25">
      <c r="A1596" s="1"/>
      <c r="B1596" s="100"/>
      <c r="C1596" s="22"/>
      <c r="D1596" s="1"/>
      <c r="E1596" s="1"/>
      <c r="F1596" s="1"/>
      <c r="G1596" s="98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5.75" customHeight="1" x14ac:dyDescent="0.25">
      <c r="A1597" s="1"/>
      <c r="B1597" s="100"/>
      <c r="C1597" s="22"/>
      <c r="D1597" s="1"/>
      <c r="E1597" s="1"/>
      <c r="F1597" s="1"/>
      <c r="G1597" s="98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5.75" customHeight="1" x14ac:dyDescent="0.25">
      <c r="A1598" s="1"/>
      <c r="B1598" s="100"/>
      <c r="C1598" s="22"/>
      <c r="D1598" s="1"/>
      <c r="E1598" s="1"/>
      <c r="F1598" s="1"/>
      <c r="G1598" s="98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5.75" customHeight="1" x14ac:dyDescent="0.25">
      <c r="A1599" s="1"/>
      <c r="B1599" s="100"/>
      <c r="C1599" s="22"/>
      <c r="D1599" s="1"/>
      <c r="E1599" s="1"/>
      <c r="F1599" s="1"/>
      <c r="G1599" s="98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5.75" customHeight="1" x14ac:dyDescent="0.25">
      <c r="A1600" s="1"/>
      <c r="B1600" s="100"/>
      <c r="C1600" s="22"/>
      <c r="D1600" s="1"/>
      <c r="E1600" s="1"/>
      <c r="F1600" s="1"/>
      <c r="G1600" s="98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5.75" customHeight="1" x14ac:dyDescent="0.25">
      <c r="A1601" s="1"/>
      <c r="B1601" s="100"/>
      <c r="C1601" s="22"/>
      <c r="D1601" s="1"/>
      <c r="E1601" s="1"/>
      <c r="F1601" s="1"/>
      <c r="G1601" s="98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5.75" customHeight="1" x14ac:dyDescent="0.25">
      <c r="A1602" s="1"/>
      <c r="B1602" s="100"/>
      <c r="C1602" s="22"/>
      <c r="D1602" s="1"/>
      <c r="E1602" s="1"/>
      <c r="F1602" s="1"/>
      <c r="G1602" s="98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5.75" customHeight="1" x14ac:dyDescent="0.25">
      <c r="A1603" s="1"/>
      <c r="B1603" s="100"/>
      <c r="C1603" s="22"/>
      <c r="D1603" s="1"/>
      <c r="E1603" s="1"/>
      <c r="F1603" s="1"/>
      <c r="G1603" s="98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5.75" customHeight="1" x14ac:dyDescent="0.25">
      <c r="A1604" s="1"/>
      <c r="B1604" s="100"/>
      <c r="C1604" s="22"/>
      <c r="D1604" s="1"/>
      <c r="E1604" s="1"/>
      <c r="F1604" s="1"/>
      <c r="G1604" s="98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5.75" customHeight="1" x14ac:dyDescent="0.25">
      <c r="A1605" s="1"/>
      <c r="B1605" s="100"/>
      <c r="C1605" s="22"/>
      <c r="D1605" s="1"/>
      <c r="E1605" s="1"/>
      <c r="F1605" s="1"/>
      <c r="G1605" s="98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5.75" customHeight="1" x14ac:dyDescent="0.25">
      <c r="A1606" s="1"/>
      <c r="B1606" s="100"/>
      <c r="C1606" s="22"/>
      <c r="D1606" s="1"/>
      <c r="E1606" s="1"/>
      <c r="F1606" s="1"/>
      <c r="G1606" s="98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5.75" customHeight="1" x14ac:dyDescent="0.25">
      <c r="A1607" s="1"/>
      <c r="B1607" s="100"/>
      <c r="C1607" s="22"/>
      <c r="D1607" s="1"/>
      <c r="E1607" s="1"/>
      <c r="F1607" s="1"/>
      <c r="G1607" s="98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5.75" customHeight="1" x14ac:dyDescent="0.25">
      <c r="A1608" s="1"/>
      <c r="B1608" s="100"/>
      <c r="C1608" s="22"/>
      <c r="D1608" s="1"/>
      <c r="E1608" s="1"/>
      <c r="F1608" s="1"/>
      <c r="G1608" s="98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5.75" customHeight="1" x14ac:dyDescent="0.25">
      <c r="A1609" s="1"/>
      <c r="B1609" s="100"/>
      <c r="C1609" s="22"/>
      <c r="D1609" s="1"/>
      <c r="E1609" s="1"/>
      <c r="F1609" s="1"/>
      <c r="G1609" s="98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5.75" customHeight="1" x14ac:dyDescent="0.25">
      <c r="A1610" s="1"/>
      <c r="B1610" s="100"/>
      <c r="C1610" s="22"/>
      <c r="D1610" s="1"/>
      <c r="E1610" s="1"/>
      <c r="F1610" s="1"/>
      <c r="G1610" s="98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5.75" customHeight="1" x14ac:dyDescent="0.25">
      <c r="A1611" s="1"/>
      <c r="B1611" s="100"/>
      <c r="C1611" s="22"/>
      <c r="D1611" s="1"/>
      <c r="E1611" s="1"/>
      <c r="F1611" s="1"/>
      <c r="G1611" s="98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5.75" customHeight="1" x14ac:dyDescent="0.25">
      <c r="A1612" s="1"/>
      <c r="B1612" s="100"/>
      <c r="C1612" s="22"/>
      <c r="D1612" s="1"/>
      <c r="E1612" s="1"/>
      <c r="F1612" s="1"/>
      <c r="G1612" s="98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5.75" customHeight="1" x14ac:dyDescent="0.25">
      <c r="A1613" s="1"/>
      <c r="B1613" s="100"/>
      <c r="C1613" s="22"/>
      <c r="D1613" s="1"/>
      <c r="E1613" s="1"/>
      <c r="F1613" s="1"/>
      <c r="G1613" s="98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5.75" customHeight="1" x14ac:dyDescent="0.25">
      <c r="A1614" s="1"/>
      <c r="B1614" s="100"/>
      <c r="C1614" s="22"/>
      <c r="D1614" s="1"/>
      <c r="E1614" s="1"/>
      <c r="F1614" s="1"/>
      <c r="G1614" s="98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5.75" customHeight="1" x14ac:dyDescent="0.25">
      <c r="A1615" s="1"/>
      <c r="B1615" s="100"/>
      <c r="C1615" s="22"/>
      <c r="D1615" s="1"/>
      <c r="E1615" s="1"/>
      <c r="F1615" s="1"/>
      <c r="G1615" s="98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5.75" customHeight="1" x14ac:dyDescent="0.25">
      <c r="A1616" s="1"/>
      <c r="B1616" s="100"/>
      <c r="C1616" s="22"/>
      <c r="D1616" s="1"/>
      <c r="E1616" s="1"/>
      <c r="F1616" s="1"/>
      <c r="G1616" s="98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5.75" customHeight="1" x14ac:dyDescent="0.25">
      <c r="A1617" s="1"/>
      <c r="B1617" s="100"/>
      <c r="C1617" s="22"/>
      <c r="D1617" s="1"/>
      <c r="E1617" s="1"/>
      <c r="F1617" s="1"/>
      <c r="G1617" s="98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5.75" customHeight="1" x14ac:dyDescent="0.25">
      <c r="A1618" s="1"/>
      <c r="B1618" s="100"/>
      <c r="C1618" s="22"/>
      <c r="D1618" s="1"/>
      <c r="E1618" s="1"/>
      <c r="F1618" s="1"/>
      <c r="G1618" s="98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5.75" customHeight="1" x14ac:dyDescent="0.25">
      <c r="A1619" s="1"/>
      <c r="B1619" s="100"/>
      <c r="C1619" s="22"/>
      <c r="D1619" s="1"/>
      <c r="E1619" s="1"/>
      <c r="F1619" s="1"/>
      <c r="G1619" s="98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5.75" customHeight="1" x14ac:dyDescent="0.25">
      <c r="A1620" s="1"/>
      <c r="B1620" s="100"/>
      <c r="C1620" s="22"/>
      <c r="D1620" s="1"/>
      <c r="E1620" s="1"/>
      <c r="F1620" s="1"/>
      <c r="G1620" s="98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5.75" customHeight="1" x14ac:dyDescent="0.25">
      <c r="A1621" s="1"/>
      <c r="B1621" s="100"/>
      <c r="C1621" s="22"/>
      <c r="D1621" s="1"/>
      <c r="E1621" s="1"/>
      <c r="F1621" s="1"/>
      <c r="G1621" s="98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5.75" customHeight="1" x14ac:dyDescent="0.25">
      <c r="A1622" s="1"/>
      <c r="B1622" s="100"/>
      <c r="C1622" s="22"/>
      <c r="D1622" s="1"/>
      <c r="E1622" s="1"/>
      <c r="F1622" s="1"/>
      <c r="G1622" s="98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5.75" customHeight="1" x14ac:dyDescent="0.25">
      <c r="A1623" s="1"/>
      <c r="B1623" s="100"/>
      <c r="C1623" s="22"/>
      <c r="D1623" s="1"/>
      <c r="E1623" s="1"/>
      <c r="F1623" s="1"/>
      <c r="G1623" s="98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5.75" customHeight="1" x14ac:dyDescent="0.25">
      <c r="A1624" s="1"/>
      <c r="B1624" s="100"/>
      <c r="C1624" s="22"/>
      <c r="D1624" s="1"/>
      <c r="E1624" s="1"/>
      <c r="F1624" s="1"/>
      <c r="G1624" s="98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5.75" customHeight="1" x14ac:dyDescent="0.25">
      <c r="A1625" s="1"/>
      <c r="B1625" s="100"/>
      <c r="C1625" s="22"/>
      <c r="D1625" s="1"/>
      <c r="E1625" s="1"/>
      <c r="F1625" s="1"/>
      <c r="G1625" s="98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5.75" customHeight="1" x14ac:dyDescent="0.25">
      <c r="A1626" s="1"/>
      <c r="B1626" s="100"/>
      <c r="C1626" s="22"/>
      <c r="D1626" s="1"/>
      <c r="E1626" s="1"/>
      <c r="F1626" s="1"/>
      <c r="G1626" s="98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5.75" customHeight="1" x14ac:dyDescent="0.25">
      <c r="A1627" s="1"/>
      <c r="B1627" s="100"/>
      <c r="C1627" s="22"/>
      <c r="D1627" s="1"/>
      <c r="E1627" s="1"/>
      <c r="F1627" s="1"/>
      <c r="G1627" s="98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5.75" customHeight="1" x14ac:dyDescent="0.25">
      <c r="A1628" s="1"/>
      <c r="B1628" s="100"/>
      <c r="C1628" s="22"/>
      <c r="D1628" s="1"/>
      <c r="E1628" s="1"/>
      <c r="F1628" s="1"/>
      <c r="G1628" s="98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5.75" customHeight="1" x14ac:dyDescent="0.25">
      <c r="A1629" s="1"/>
      <c r="B1629" s="100"/>
      <c r="C1629" s="22"/>
      <c r="D1629" s="1"/>
      <c r="E1629" s="1"/>
      <c r="F1629" s="1"/>
      <c r="G1629" s="98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5.75" customHeight="1" x14ac:dyDescent="0.25">
      <c r="A1630" s="1"/>
      <c r="B1630" s="100"/>
      <c r="C1630" s="22"/>
      <c r="D1630" s="1"/>
      <c r="E1630" s="1"/>
      <c r="F1630" s="1"/>
      <c r="G1630" s="98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5.75" customHeight="1" x14ac:dyDescent="0.25">
      <c r="A1631" s="1"/>
      <c r="B1631" s="100"/>
      <c r="C1631" s="22"/>
      <c r="D1631" s="1"/>
      <c r="E1631" s="1"/>
      <c r="F1631" s="1"/>
      <c r="G1631" s="98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5.75" customHeight="1" x14ac:dyDescent="0.25">
      <c r="A1632" s="1"/>
      <c r="B1632" s="100"/>
      <c r="C1632" s="22"/>
      <c r="D1632" s="1"/>
      <c r="E1632" s="1"/>
      <c r="F1632" s="1"/>
      <c r="G1632" s="98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5.75" customHeight="1" x14ac:dyDescent="0.25">
      <c r="A1633" s="1"/>
      <c r="B1633" s="100"/>
      <c r="C1633" s="22"/>
      <c r="D1633" s="1"/>
      <c r="E1633" s="1"/>
      <c r="F1633" s="1"/>
      <c r="G1633" s="98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5.75" customHeight="1" x14ac:dyDescent="0.25">
      <c r="A1634" s="1"/>
      <c r="B1634" s="100"/>
      <c r="C1634" s="22"/>
      <c r="D1634" s="1"/>
      <c r="E1634" s="1"/>
      <c r="F1634" s="1"/>
      <c r="G1634" s="98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5.75" customHeight="1" x14ac:dyDescent="0.25">
      <c r="A1635" s="1"/>
      <c r="B1635" s="100"/>
      <c r="C1635" s="22"/>
      <c r="D1635" s="1"/>
      <c r="E1635" s="1"/>
      <c r="F1635" s="1"/>
      <c r="G1635" s="98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5.75" customHeight="1" x14ac:dyDescent="0.25">
      <c r="A1636" s="1"/>
      <c r="B1636" s="100"/>
      <c r="C1636" s="22"/>
      <c r="D1636" s="1"/>
      <c r="E1636" s="1"/>
      <c r="F1636" s="1"/>
      <c r="G1636" s="98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5.75" customHeight="1" x14ac:dyDescent="0.25">
      <c r="A1637" s="1"/>
      <c r="B1637" s="100"/>
      <c r="C1637" s="22"/>
      <c r="D1637" s="1"/>
      <c r="E1637" s="1"/>
      <c r="F1637" s="1"/>
      <c r="G1637" s="98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5.75" customHeight="1" x14ac:dyDescent="0.25">
      <c r="A1638" s="1"/>
      <c r="B1638" s="100"/>
      <c r="C1638" s="22"/>
      <c r="D1638" s="1"/>
      <c r="E1638" s="1"/>
      <c r="F1638" s="1"/>
      <c r="G1638" s="98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5.75" customHeight="1" x14ac:dyDescent="0.25">
      <c r="A1639" s="1"/>
      <c r="B1639" s="100"/>
      <c r="C1639" s="22"/>
      <c r="D1639" s="1"/>
      <c r="E1639" s="1"/>
      <c r="F1639" s="1"/>
      <c r="G1639" s="98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5.75" customHeight="1" x14ac:dyDescent="0.25">
      <c r="A1640" s="1"/>
      <c r="B1640" s="100"/>
      <c r="C1640" s="22"/>
      <c r="D1640" s="1"/>
      <c r="E1640" s="1"/>
      <c r="F1640" s="1"/>
      <c r="G1640" s="98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5.75" customHeight="1" x14ac:dyDescent="0.25">
      <c r="A1641" s="1"/>
      <c r="B1641" s="100"/>
      <c r="C1641" s="22"/>
      <c r="D1641" s="1"/>
      <c r="E1641" s="1"/>
      <c r="F1641" s="1"/>
      <c r="G1641" s="98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5.75" customHeight="1" x14ac:dyDescent="0.25">
      <c r="A1642" s="1"/>
      <c r="B1642" s="100"/>
      <c r="C1642" s="22"/>
      <c r="D1642" s="1"/>
      <c r="E1642" s="1"/>
      <c r="F1642" s="1"/>
      <c r="G1642" s="98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5.75" customHeight="1" x14ac:dyDescent="0.25">
      <c r="A1643" s="1"/>
      <c r="B1643" s="100"/>
      <c r="C1643" s="22"/>
      <c r="D1643" s="1"/>
      <c r="E1643" s="1"/>
      <c r="F1643" s="1"/>
      <c r="G1643" s="98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5.75" customHeight="1" x14ac:dyDescent="0.25">
      <c r="A1644" s="1"/>
      <c r="B1644" s="100"/>
      <c r="C1644" s="22"/>
      <c r="D1644" s="1"/>
      <c r="E1644" s="1"/>
      <c r="F1644" s="1"/>
      <c r="G1644" s="98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5.75" customHeight="1" x14ac:dyDescent="0.25">
      <c r="A1645" s="1"/>
      <c r="B1645" s="100"/>
      <c r="C1645" s="22"/>
      <c r="D1645" s="1"/>
      <c r="E1645" s="1"/>
      <c r="F1645" s="1"/>
      <c r="G1645" s="98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5.75" customHeight="1" x14ac:dyDescent="0.25">
      <c r="A1646" s="1"/>
      <c r="B1646" s="100"/>
      <c r="C1646" s="22"/>
      <c r="D1646" s="1"/>
      <c r="E1646" s="1"/>
      <c r="F1646" s="1"/>
      <c r="G1646" s="98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5.75" customHeight="1" x14ac:dyDescent="0.25">
      <c r="A1647" s="1"/>
      <c r="B1647" s="100"/>
      <c r="C1647" s="22"/>
      <c r="D1647" s="1"/>
      <c r="E1647" s="1"/>
      <c r="F1647" s="1"/>
      <c r="G1647" s="98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5.75" customHeight="1" x14ac:dyDescent="0.25">
      <c r="A1648" s="1"/>
      <c r="B1648" s="100"/>
      <c r="C1648" s="22"/>
      <c r="D1648" s="1"/>
      <c r="E1648" s="1"/>
      <c r="F1648" s="1"/>
      <c r="G1648" s="98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5.75" customHeight="1" x14ac:dyDescent="0.25">
      <c r="A1649" s="1"/>
      <c r="B1649" s="100"/>
      <c r="C1649" s="22"/>
      <c r="D1649" s="1"/>
      <c r="E1649" s="1"/>
      <c r="F1649" s="1"/>
      <c r="G1649" s="98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5.75" customHeight="1" x14ac:dyDescent="0.25">
      <c r="A1650" s="1"/>
      <c r="B1650" s="100"/>
      <c r="C1650" s="22"/>
      <c r="D1650" s="1"/>
      <c r="E1650" s="1"/>
      <c r="F1650" s="1"/>
      <c r="G1650" s="98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5.75" customHeight="1" x14ac:dyDescent="0.25">
      <c r="A1651" s="1"/>
      <c r="B1651" s="100"/>
      <c r="C1651" s="22"/>
      <c r="D1651" s="1"/>
      <c r="E1651" s="1"/>
      <c r="F1651" s="1"/>
      <c r="G1651" s="98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5.75" customHeight="1" x14ac:dyDescent="0.25">
      <c r="A1652" s="1"/>
      <c r="B1652" s="100"/>
      <c r="C1652" s="22"/>
      <c r="D1652" s="1"/>
      <c r="E1652" s="1"/>
      <c r="F1652" s="1"/>
      <c r="G1652" s="98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5.75" customHeight="1" x14ac:dyDescent="0.25">
      <c r="A1653" s="1"/>
      <c r="B1653" s="100"/>
      <c r="C1653" s="22"/>
      <c r="D1653" s="1"/>
      <c r="E1653" s="1"/>
      <c r="F1653" s="1"/>
      <c r="G1653" s="98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5.75" customHeight="1" x14ac:dyDescent="0.25">
      <c r="A1654" s="1"/>
      <c r="B1654" s="100"/>
      <c r="C1654" s="22"/>
      <c r="D1654" s="1"/>
      <c r="E1654" s="1"/>
      <c r="F1654" s="1"/>
      <c r="G1654" s="98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5.75" customHeight="1" x14ac:dyDescent="0.25">
      <c r="A1655" s="1"/>
      <c r="B1655" s="100"/>
      <c r="C1655" s="22"/>
      <c r="D1655" s="1"/>
      <c r="E1655" s="1"/>
      <c r="F1655" s="1"/>
      <c r="G1655" s="98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5.75" customHeight="1" x14ac:dyDescent="0.25">
      <c r="A1656" s="1"/>
      <c r="B1656" s="100"/>
      <c r="C1656" s="22"/>
      <c r="D1656" s="1"/>
      <c r="E1656" s="1"/>
      <c r="F1656" s="1"/>
      <c r="G1656" s="98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5.75" customHeight="1" x14ac:dyDescent="0.25">
      <c r="A1657" s="1"/>
      <c r="B1657" s="100"/>
      <c r="C1657" s="22"/>
      <c r="D1657" s="1"/>
      <c r="E1657" s="1"/>
      <c r="F1657" s="1"/>
      <c r="G1657" s="98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5.75" customHeight="1" x14ac:dyDescent="0.25">
      <c r="A1658" s="1"/>
      <c r="B1658" s="100"/>
      <c r="C1658" s="22"/>
      <c r="D1658" s="1"/>
      <c r="E1658" s="1"/>
      <c r="F1658" s="1"/>
      <c r="G1658" s="98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5.75" customHeight="1" x14ac:dyDescent="0.25">
      <c r="A1659" s="1"/>
      <c r="B1659" s="100"/>
      <c r="C1659" s="22"/>
      <c r="D1659" s="1"/>
      <c r="E1659" s="1"/>
      <c r="F1659" s="1"/>
      <c r="G1659" s="98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5.75" customHeight="1" x14ac:dyDescent="0.25">
      <c r="A1660" s="1"/>
      <c r="B1660" s="100"/>
      <c r="C1660" s="22"/>
      <c r="D1660" s="1"/>
      <c r="E1660" s="1"/>
      <c r="F1660" s="1"/>
      <c r="G1660" s="98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5.75" customHeight="1" x14ac:dyDescent="0.25">
      <c r="A1661" s="1"/>
      <c r="B1661" s="100"/>
      <c r="C1661" s="22"/>
      <c r="D1661" s="1"/>
      <c r="E1661" s="1"/>
      <c r="F1661" s="1"/>
      <c r="G1661" s="98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5.75" customHeight="1" x14ac:dyDescent="0.25">
      <c r="A1662" s="1"/>
      <c r="B1662" s="100"/>
      <c r="C1662" s="22"/>
      <c r="D1662" s="1"/>
      <c r="E1662" s="1"/>
      <c r="F1662" s="1"/>
      <c r="G1662" s="98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5.75" customHeight="1" x14ac:dyDescent="0.25">
      <c r="A1663" s="1"/>
      <c r="B1663" s="100"/>
      <c r="C1663" s="22"/>
      <c r="D1663" s="1"/>
      <c r="E1663" s="1"/>
      <c r="F1663" s="1"/>
      <c r="G1663" s="98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5.75" customHeight="1" x14ac:dyDescent="0.25">
      <c r="A1664" s="1"/>
      <c r="B1664" s="100"/>
      <c r="C1664" s="22"/>
      <c r="D1664" s="1"/>
      <c r="E1664" s="1"/>
      <c r="F1664" s="1"/>
      <c r="G1664" s="98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5.75" customHeight="1" x14ac:dyDescent="0.25">
      <c r="A1665" s="1"/>
      <c r="B1665" s="100"/>
      <c r="C1665" s="22"/>
      <c r="D1665" s="1"/>
      <c r="E1665" s="1"/>
      <c r="F1665" s="1"/>
      <c r="G1665" s="98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5.75" customHeight="1" x14ac:dyDescent="0.25">
      <c r="A1666" s="1"/>
      <c r="B1666" s="100"/>
      <c r="C1666" s="22"/>
      <c r="D1666" s="1"/>
      <c r="E1666" s="1"/>
      <c r="F1666" s="1"/>
      <c r="G1666" s="98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5.75" customHeight="1" x14ac:dyDescent="0.25">
      <c r="A1667" s="1"/>
      <c r="B1667" s="100"/>
      <c r="C1667" s="22"/>
      <c r="D1667" s="1"/>
      <c r="E1667" s="1"/>
      <c r="F1667" s="1"/>
      <c r="G1667" s="98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5.75" customHeight="1" x14ac:dyDescent="0.25">
      <c r="A1668" s="1"/>
      <c r="B1668" s="100"/>
      <c r="C1668" s="22"/>
      <c r="D1668" s="1"/>
      <c r="E1668" s="1"/>
      <c r="F1668" s="1"/>
      <c r="G1668" s="98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5.75" customHeight="1" x14ac:dyDescent="0.25">
      <c r="A1669" s="1"/>
      <c r="B1669" s="100"/>
      <c r="C1669" s="22"/>
      <c r="D1669" s="1"/>
      <c r="E1669" s="1"/>
      <c r="F1669" s="1"/>
      <c r="G1669" s="98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5.75" customHeight="1" x14ac:dyDescent="0.25">
      <c r="A1670" s="1"/>
      <c r="B1670" s="100"/>
      <c r="C1670" s="22"/>
      <c r="D1670" s="1"/>
      <c r="E1670" s="1"/>
      <c r="F1670" s="1"/>
      <c r="G1670" s="98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5.75" customHeight="1" x14ac:dyDescent="0.25">
      <c r="A1671" s="1"/>
      <c r="B1671" s="100"/>
      <c r="C1671" s="22"/>
      <c r="D1671" s="1"/>
      <c r="E1671" s="1"/>
      <c r="F1671" s="1"/>
      <c r="G1671" s="98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5.75" customHeight="1" x14ac:dyDescent="0.25">
      <c r="A1672" s="1"/>
      <c r="B1672" s="100"/>
      <c r="C1672" s="22"/>
      <c r="D1672" s="1"/>
      <c r="E1672" s="1"/>
      <c r="F1672" s="1"/>
      <c r="G1672" s="98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5.75" customHeight="1" x14ac:dyDescent="0.25">
      <c r="A1673" s="1"/>
      <c r="B1673" s="100"/>
      <c r="C1673" s="22"/>
      <c r="D1673" s="1"/>
      <c r="E1673" s="1"/>
      <c r="F1673" s="1"/>
      <c r="G1673" s="98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5.75" customHeight="1" x14ac:dyDescent="0.25">
      <c r="A1674" s="1"/>
      <c r="B1674" s="100"/>
      <c r="C1674" s="22"/>
      <c r="D1674" s="1"/>
      <c r="E1674" s="1"/>
      <c r="F1674" s="1"/>
      <c r="G1674" s="98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5.75" customHeight="1" x14ac:dyDescent="0.25">
      <c r="A1675" s="1"/>
      <c r="B1675" s="100"/>
      <c r="C1675" s="22"/>
      <c r="D1675" s="1"/>
      <c r="E1675" s="1"/>
      <c r="F1675" s="1"/>
      <c r="G1675" s="98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5.75" customHeight="1" x14ac:dyDescent="0.25">
      <c r="A1676" s="1"/>
      <c r="B1676" s="100"/>
      <c r="C1676" s="22"/>
      <c r="D1676" s="1"/>
      <c r="E1676" s="1"/>
      <c r="F1676" s="1"/>
      <c r="G1676" s="98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5.75" customHeight="1" x14ac:dyDescent="0.25">
      <c r="A1677" s="1"/>
      <c r="B1677" s="100"/>
      <c r="C1677" s="22"/>
      <c r="D1677" s="1"/>
      <c r="E1677" s="1"/>
      <c r="F1677" s="1"/>
      <c r="G1677" s="98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5.75" customHeight="1" x14ac:dyDescent="0.25">
      <c r="A1678" s="1"/>
      <c r="B1678" s="100"/>
      <c r="C1678" s="22"/>
      <c r="D1678" s="1"/>
      <c r="E1678" s="1"/>
      <c r="F1678" s="1"/>
      <c r="G1678" s="98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5.75" customHeight="1" x14ac:dyDescent="0.25">
      <c r="A1679" s="1"/>
      <c r="B1679" s="100"/>
      <c r="C1679" s="22"/>
      <c r="D1679" s="1"/>
      <c r="E1679" s="1"/>
      <c r="F1679" s="1"/>
      <c r="G1679" s="98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5.75" customHeight="1" x14ac:dyDescent="0.25">
      <c r="A1680" s="1"/>
      <c r="B1680" s="100"/>
      <c r="C1680" s="22"/>
      <c r="D1680" s="1"/>
      <c r="E1680" s="1"/>
      <c r="F1680" s="1"/>
      <c r="G1680" s="98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5.75" customHeight="1" x14ac:dyDescent="0.25">
      <c r="A1681" s="1"/>
      <c r="B1681" s="100"/>
      <c r="C1681" s="22"/>
      <c r="D1681" s="1"/>
      <c r="E1681" s="1"/>
      <c r="F1681" s="1"/>
      <c r="G1681" s="98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5.75" customHeight="1" x14ac:dyDescent="0.25">
      <c r="A1682" s="1"/>
      <c r="B1682" s="100"/>
      <c r="C1682" s="22"/>
      <c r="D1682" s="1"/>
      <c r="E1682" s="1"/>
      <c r="F1682" s="1"/>
      <c r="G1682" s="98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5.75" customHeight="1" x14ac:dyDescent="0.25">
      <c r="A1683" s="1"/>
      <c r="B1683" s="100"/>
      <c r="C1683" s="22"/>
      <c r="D1683" s="1"/>
      <c r="E1683" s="1"/>
      <c r="F1683" s="1"/>
      <c r="G1683" s="98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5.75" customHeight="1" x14ac:dyDescent="0.25">
      <c r="A1684" s="1"/>
      <c r="B1684" s="100"/>
      <c r="C1684" s="22"/>
      <c r="D1684" s="1"/>
      <c r="E1684" s="1"/>
      <c r="F1684" s="1"/>
      <c r="G1684" s="98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5.75" customHeight="1" x14ac:dyDescent="0.25">
      <c r="A1685" s="1"/>
      <c r="B1685" s="100"/>
      <c r="C1685" s="22"/>
      <c r="D1685" s="1"/>
      <c r="E1685" s="1"/>
      <c r="F1685" s="1"/>
      <c r="G1685" s="98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5.75" customHeight="1" x14ac:dyDescent="0.25">
      <c r="A1686" s="1"/>
      <c r="B1686" s="100"/>
      <c r="C1686" s="22"/>
      <c r="D1686" s="1"/>
      <c r="E1686" s="1"/>
      <c r="F1686" s="1"/>
      <c r="G1686" s="98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5.75" customHeight="1" x14ac:dyDescent="0.25">
      <c r="A1687" s="1"/>
      <c r="B1687" s="100"/>
      <c r="C1687" s="22"/>
      <c r="D1687" s="1"/>
      <c r="E1687" s="1"/>
      <c r="F1687" s="1"/>
      <c r="G1687" s="98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5.75" customHeight="1" x14ac:dyDescent="0.25">
      <c r="A1688" s="1"/>
      <c r="B1688" s="100"/>
      <c r="C1688" s="22"/>
      <c r="D1688" s="1"/>
      <c r="E1688" s="1"/>
      <c r="F1688" s="1"/>
      <c r="G1688" s="98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5.75" customHeight="1" x14ac:dyDescent="0.25">
      <c r="A1689" s="1"/>
      <c r="B1689" s="100"/>
      <c r="C1689" s="22"/>
      <c r="D1689" s="1"/>
      <c r="E1689" s="1"/>
      <c r="F1689" s="1"/>
      <c r="G1689" s="98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5.75" customHeight="1" x14ac:dyDescent="0.25">
      <c r="A1690" s="1"/>
      <c r="B1690" s="100"/>
      <c r="C1690" s="22"/>
      <c r="D1690" s="1"/>
      <c r="E1690" s="1"/>
      <c r="F1690" s="1"/>
      <c r="G1690" s="98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5.75" customHeight="1" x14ac:dyDescent="0.25">
      <c r="A1691" s="1"/>
      <c r="B1691" s="100"/>
      <c r="C1691" s="22"/>
      <c r="D1691" s="1"/>
      <c r="E1691" s="1"/>
      <c r="F1691" s="1"/>
      <c r="G1691" s="98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5.75" customHeight="1" x14ac:dyDescent="0.25">
      <c r="A1692" s="1"/>
      <c r="B1692" s="100"/>
      <c r="C1692" s="22"/>
      <c r="D1692" s="1"/>
      <c r="E1692" s="1"/>
      <c r="F1692" s="1"/>
      <c r="G1692" s="98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5.75" customHeight="1" x14ac:dyDescent="0.25">
      <c r="A1693" s="1"/>
      <c r="B1693" s="100"/>
      <c r="C1693" s="22"/>
      <c r="D1693" s="1"/>
      <c r="E1693" s="1"/>
      <c r="F1693" s="1"/>
      <c r="G1693" s="98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5.75" customHeight="1" x14ac:dyDescent="0.25">
      <c r="A1694" s="1"/>
      <c r="B1694" s="100"/>
      <c r="C1694" s="22"/>
      <c r="D1694" s="1"/>
      <c r="E1694" s="1"/>
      <c r="F1694" s="1"/>
      <c r="G1694" s="98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5.75" customHeight="1" x14ac:dyDescent="0.25">
      <c r="A1695" s="1"/>
      <c r="B1695" s="100"/>
      <c r="C1695" s="22"/>
      <c r="D1695" s="1"/>
      <c r="E1695" s="1"/>
      <c r="F1695" s="1"/>
      <c r="G1695" s="98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5.75" customHeight="1" x14ac:dyDescent="0.25">
      <c r="A1696" s="1"/>
      <c r="B1696" s="100"/>
      <c r="C1696" s="22"/>
      <c r="D1696" s="1"/>
      <c r="E1696" s="1"/>
      <c r="F1696" s="1"/>
      <c r="G1696" s="98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5.75" customHeight="1" x14ac:dyDescent="0.25">
      <c r="A1697" s="1"/>
      <c r="B1697" s="100"/>
      <c r="C1697" s="22"/>
      <c r="D1697" s="1"/>
      <c r="E1697" s="1"/>
      <c r="F1697" s="1"/>
      <c r="G1697" s="98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5.75" customHeight="1" x14ac:dyDescent="0.25">
      <c r="A1698" s="1"/>
      <c r="B1698" s="100"/>
      <c r="C1698" s="22"/>
      <c r="D1698" s="1"/>
      <c r="E1698" s="1"/>
      <c r="F1698" s="1"/>
      <c r="G1698" s="98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5.75" customHeight="1" x14ac:dyDescent="0.25">
      <c r="A1699" s="1"/>
      <c r="B1699" s="100"/>
      <c r="C1699" s="22"/>
      <c r="D1699" s="1"/>
      <c r="E1699" s="1"/>
      <c r="F1699" s="1"/>
      <c r="G1699" s="98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5.75" customHeight="1" x14ac:dyDescent="0.25">
      <c r="A1700" s="1"/>
      <c r="B1700" s="100"/>
      <c r="C1700" s="22"/>
      <c r="D1700" s="1"/>
      <c r="E1700" s="1"/>
      <c r="F1700" s="1"/>
      <c r="G1700" s="98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5.75" customHeight="1" x14ac:dyDescent="0.25">
      <c r="A1701" s="1"/>
      <c r="B1701" s="100"/>
      <c r="C1701" s="22"/>
      <c r="D1701" s="1"/>
      <c r="E1701" s="1"/>
      <c r="F1701" s="1"/>
      <c r="G1701" s="98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5.75" customHeight="1" x14ac:dyDescent="0.25">
      <c r="A1702" s="1"/>
      <c r="B1702" s="100"/>
      <c r="C1702" s="22"/>
      <c r="D1702" s="1"/>
      <c r="E1702" s="1"/>
      <c r="F1702" s="1"/>
      <c r="G1702" s="98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5.75" customHeight="1" x14ac:dyDescent="0.25">
      <c r="A1703" s="1"/>
      <c r="B1703" s="100"/>
      <c r="C1703" s="22"/>
      <c r="D1703" s="1"/>
      <c r="E1703" s="1"/>
      <c r="F1703" s="1"/>
      <c r="G1703" s="98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5.75" customHeight="1" x14ac:dyDescent="0.25">
      <c r="A1704" s="1"/>
      <c r="B1704" s="100"/>
      <c r="C1704" s="22"/>
      <c r="D1704" s="1"/>
      <c r="E1704" s="1"/>
      <c r="F1704" s="1"/>
      <c r="G1704" s="98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5.75" customHeight="1" x14ac:dyDescent="0.25">
      <c r="A1705" s="1"/>
      <c r="B1705" s="100"/>
      <c r="C1705" s="22"/>
      <c r="D1705" s="1"/>
      <c r="E1705" s="1"/>
      <c r="F1705" s="1"/>
      <c r="G1705" s="98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5.75" customHeight="1" x14ac:dyDescent="0.25">
      <c r="A1706" s="1"/>
      <c r="B1706" s="100"/>
      <c r="C1706" s="22"/>
      <c r="D1706" s="1"/>
      <c r="E1706" s="1"/>
      <c r="F1706" s="1"/>
      <c r="G1706" s="98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5.75" customHeight="1" x14ac:dyDescent="0.25">
      <c r="A1707" s="1"/>
      <c r="B1707" s="100"/>
      <c r="C1707" s="22"/>
      <c r="D1707" s="1"/>
      <c r="E1707" s="1"/>
      <c r="F1707" s="1"/>
      <c r="G1707" s="98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5.75" customHeight="1" x14ac:dyDescent="0.25">
      <c r="A1708" s="1"/>
      <c r="B1708" s="100"/>
      <c r="C1708" s="22"/>
      <c r="D1708" s="1"/>
      <c r="E1708" s="1"/>
      <c r="F1708" s="1"/>
      <c r="G1708" s="98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5.75" customHeight="1" x14ac:dyDescent="0.25">
      <c r="A1709" s="1"/>
      <c r="B1709" s="100"/>
      <c r="C1709" s="22"/>
      <c r="D1709" s="1"/>
      <c r="E1709" s="1"/>
      <c r="F1709" s="1"/>
      <c r="G1709" s="98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5.75" customHeight="1" x14ac:dyDescent="0.25">
      <c r="A1710" s="1"/>
      <c r="B1710" s="100"/>
      <c r="C1710" s="22"/>
      <c r="D1710" s="1"/>
      <c r="E1710" s="1"/>
      <c r="F1710" s="1"/>
      <c r="G1710" s="98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5.75" customHeight="1" x14ac:dyDescent="0.25">
      <c r="A1711" s="1"/>
      <c r="B1711" s="100"/>
      <c r="C1711" s="22"/>
      <c r="D1711" s="1"/>
      <c r="E1711" s="1"/>
      <c r="F1711" s="1"/>
      <c r="G1711" s="98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5.75" customHeight="1" x14ac:dyDescent="0.25">
      <c r="A1712" s="1"/>
      <c r="B1712" s="100"/>
      <c r="C1712" s="22"/>
      <c r="D1712" s="1"/>
      <c r="E1712" s="1"/>
      <c r="F1712" s="1"/>
      <c r="G1712" s="98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5.75" customHeight="1" x14ac:dyDescent="0.25">
      <c r="A1713" s="1"/>
      <c r="B1713" s="100"/>
      <c r="C1713" s="22"/>
      <c r="D1713" s="1"/>
      <c r="E1713" s="1"/>
      <c r="F1713" s="1"/>
      <c r="G1713" s="98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5.75" customHeight="1" x14ac:dyDescent="0.25">
      <c r="A1714" s="1"/>
      <c r="B1714" s="100"/>
      <c r="C1714" s="22"/>
      <c r="D1714" s="1"/>
      <c r="E1714" s="1"/>
      <c r="F1714" s="1"/>
      <c r="G1714" s="98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5.75" customHeight="1" x14ac:dyDescent="0.25">
      <c r="A1715" s="1"/>
      <c r="B1715" s="100"/>
      <c r="C1715" s="22"/>
      <c r="D1715" s="1"/>
      <c r="E1715" s="1"/>
      <c r="F1715" s="1"/>
      <c r="G1715" s="98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5.75" customHeight="1" x14ac:dyDescent="0.25">
      <c r="A1716" s="1"/>
      <c r="B1716" s="100"/>
      <c r="C1716" s="22"/>
      <c r="D1716" s="1"/>
      <c r="E1716" s="1"/>
      <c r="F1716" s="1"/>
      <c r="G1716" s="98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5.75" customHeight="1" x14ac:dyDescent="0.25">
      <c r="A1717" s="1"/>
      <c r="B1717" s="100"/>
      <c r="C1717" s="22"/>
      <c r="D1717" s="1"/>
      <c r="E1717" s="1"/>
      <c r="F1717" s="1"/>
      <c r="G1717" s="98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5.75" customHeight="1" x14ac:dyDescent="0.25">
      <c r="A1718" s="1"/>
      <c r="B1718" s="100"/>
      <c r="C1718" s="22"/>
      <c r="D1718" s="1"/>
      <c r="E1718" s="1"/>
      <c r="F1718" s="1"/>
      <c r="G1718" s="98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5.75" customHeight="1" x14ac:dyDescent="0.25">
      <c r="A1719" s="1"/>
      <c r="B1719" s="100"/>
      <c r="C1719" s="22"/>
      <c r="D1719" s="1"/>
      <c r="E1719" s="1"/>
      <c r="F1719" s="1"/>
      <c r="G1719" s="98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5.75" customHeight="1" x14ac:dyDescent="0.25">
      <c r="A1720" s="1"/>
      <c r="B1720" s="100"/>
      <c r="C1720" s="22"/>
      <c r="D1720" s="1"/>
      <c r="E1720" s="1"/>
      <c r="F1720" s="1"/>
      <c r="G1720" s="98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5.75" customHeight="1" x14ac:dyDescent="0.25">
      <c r="A1721" s="1"/>
      <c r="B1721" s="100"/>
      <c r="C1721" s="22"/>
      <c r="D1721" s="1"/>
      <c r="E1721" s="1"/>
      <c r="F1721" s="1"/>
      <c r="G1721" s="98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5.75" customHeight="1" x14ac:dyDescent="0.25">
      <c r="A1722" s="1"/>
      <c r="B1722" s="100"/>
      <c r="C1722" s="22"/>
      <c r="D1722" s="1"/>
      <c r="E1722" s="1"/>
      <c r="F1722" s="1"/>
      <c r="G1722" s="98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5.75" customHeight="1" x14ac:dyDescent="0.25">
      <c r="A1723" s="1"/>
      <c r="B1723" s="100"/>
      <c r="C1723" s="22"/>
      <c r="D1723" s="1"/>
      <c r="E1723" s="1"/>
      <c r="F1723" s="1"/>
      <c r="G1723" s="98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5.75" customHeight="1" x14ac:dyDescent="0.25">
      <c r="A1724" s="1"/>
      <c r="B1724" s="100"/>
      <c r="C1724" s="22"/>
      <c r="D1724" s="1"/>
      <c r="E1724" s="1"/>
      <c r="F1724" s="1"/>
      <c r="G1724" s="98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5.75" customHeight="1" x14ac:dyDescent="0.25">
      <c r="A1725" s="1"/>
      <c r="B1725" s="100"/>
      <c r="C1725" s="22"/>
      <c r="D1725" s="1"/>
      <c r="E1725" s="1"/>
      <c r="F1725" s="1"/>
      <c r="G1725" s="98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5.75" customHeight="1" x14ac:dyDescent="0.25">
      <c r="A1726" s="1"/>
      <c r="B1726" s="100"/>
      <c r="C1726" s="22"/>
      <c r="D1726" s="1"/>
      <c r="E1726" s="1"/>
      <c r="F1726" s="1"/>
      <c r="G1726" s="98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5.75" customHeight="1" x14ac:dyDescent="0.25">
      <c r="A1727" s="1"/>
      <c r="B1727" s="100"/>
      <c r="C1727" s="22"/>
      <c r="D1727" s="1"/>
      <c r="E1727" s="1"/>
      <c r="F1727" s="1"/>
      <c r="G1727" s="98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5.75" customHeight="1" x14ac:dyDescent="0.25">
      <c r="A1728" s="1"/>
      <c r="B1728" s="100"/>
      <c r="C1728" s="22"/>
      <c r="D1728" s="1"/>
      <c r="E1728" s="1"/>
      <c r="F1728" s="1"/>
      <c r="G1728" s="98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5.75" customHeight="1" x14ac:dyDescent="0.25">
      <c r="A1729" s="1"/>
      <c r="B1729" s="100"/>
      <c r="C1729" s="22"/>
      <c r="D1729" s="1"/>
      <c r="E1729" s="1"/>
      <c r="F1729" s="1"/>
      <c r="G1729" s="98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5.75" customHeight="1" x14ac:dyDescent="0.25">
      <c r="A1730" s="1"/>
      <c r="B1730" s="100"/>
      <c r="C1730" s="22"/>
      <c r="D1730" s="1"/>
      <c r="E1730" s="1"/>
      <c r="F1730" s="1"/>
      <c r="G1730" s="98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5.75" customHeight="1" x14ac:dyDescent="0.25">
      <c r="A1731" s="1"/>
      <c r="B1731" s="100"/>
      <c r="C1731" s="22"/>
      <c r="D1731" s="1"/>
      <c r="E1731" s="1"/>
      <c r="F1731" s="1"/>
      <c r="G1731" s="98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5.75" customHeight="1" x14ac:dyDescent="0.25">
      <c r="A1732" s="1"/>
      <c r="B1732" s="100"/>
      <c r="C1732" s="22"/>
      <c r="D1732" s="1"/>
      <c r="E1732" s="1"/>
      <c r="F1732" s="1"/>
      <c r="G1732" s="98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5.75" customHeight="1" x14ac:dyDescent="0.25">
      <c r="A1733" s="1"/>
      <c r="B1733" s="100"/>
      <c r="C1733" s="22"/>
      <c r="D1733" s="1"/>
      <c r="E1733" s="1"/>
      <c r="F1733" s="1"/>
      <c r="G1733" s="98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5.75" customHeight="1" x14ac:dyDescent="0.25">
      <c r="A1734" s="1"/>
      <c r="B1734" s="100"/>
      <c r="C1734" s="22"/>
      <c r="D1734" s="1"/>
      <c r="E1734" s="1"/>
      <c r="F1734" s="1"/>
      <c r="G1734" s="98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5.75" customHeight="1" x14ac:dyDescent="0.25">
      <c r="A1735" s="1"/>
      <c r="B1735" s="100"/>
      <c r="C1735" s="22"/>
      <c r="D1735" s="1"/>
      <c r="E1735" s="1"/>
      <c r="F1735" s="1"/>
      <c r="G1735" s="98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5.75" customHeight="1" x14ac:dyDescent="0.25">
      <c r="A1736" s="1"/>
      <c r="B1736" s="100"/>
      <c r="C1736" s="22"/>
      <c r="D1736" s="1"/>
      <c r="E1736" s="1"/>
      <c r="F1736" s="1"/>
      <c r="G1736" s="98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5.75" customHeight="1" x14ac:dyDescent="0.25">
      <c r="A1737" s="1"/>
      <c r="B1737" s="100"/>
      <c r="C1737" s="22"/>
      <c r="D1737" s="1"/>
      <c r="E1737" s="1"/>
      <c r="F1737" s="1"/>
      <c r="G1737" s="98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5.75" customHeight="1" x14ac:dyDescent="0.25">
      <c r="A1738" s="1"/>
      <c r="B1738" s="100"/>
      <c r="C1738" s="22"/>
      <c r="D1738" s="1"/>
      <c r="E1738" s="1"/>
      <c r="F1738" s="1"/>
      <c r="G1738" s="98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5.75" customHeight="1" x14ac:dyDescent="0.25">
      <c r="A1739" s="1"/>
      <c r="B1739" s="100"/>
      <c r="C1739" s="22"/>
      <c r="D1739" s="1"/>
      <c r="E1739" s="1"/>
      <c r="F1739" s="1"/>
      <c r="G1739" s="98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5.75" customHeight="1" x14ac:dyDescent="0.25">
      <c r="A1740" s="1"/>
      <c r="B1740" s="100"/>
      <c r="C1740" s="22"/>
      <c r="D1740" s="1"/>
      <c r="E1740" s="1"/>
      <c r="F1740" s="1"/>
      <c r="G1740" s="98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5.75" customHeight="1" x14ac:dyDescent="0.25">
      <c r="A1741" s="1"/>
      <c r="B1741" s="100"/>
      <c r="C1741" s="22"/>
      <c r="D1741" s="1"/>
      <c r="E1741" s="1"/>
      <c r="F1741" s="1"/>
      <c r="G1741" s="98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5.75" customHeight="1" x14ac:dyDescent="0.25">
      <c r="A1742" s="1"/>
      <c r="B1742" s="100"/>
      <c r="C1742" s="22"/>
      <c r="D1742" s="1"/>
      <c r="E1742" s="1"/>
      <c r="F1742" s="1"/>
      <c r="G1742" s="98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5.75" customHeight="1" x14ac:dyDescent="0.25">
      <c r="A1743" s="1"/>
      <c r="B1743" s="100"/>
      <c r="C1743" s="22"/>
      <c r="D1743" s="1"/>
      <c r="E1743" s="1"/>
      <c r="F1743" s="1"/>
      <c r="G1743" s="98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5.75" customHeight="1" x14ac:dyDescent="0.25">
      <c r="A1744" s="1"/>
      <c r="B1744" s="100"/>
      <c r="C1744" s="22"/>
      <c r="D1744" s="1"/>
      <c r="E1744" s="1"/>
      <c r="F1744" s="1"/>
      <c r="G1744" s="98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5.75" customHeight="1" x14ac:dyDescent="0.25">
      <c r="A1745" s="1"/>
      <c r="B1745" s="100"/>
      <c r="C1745" s="22"/>
      <c r="D1745" s="1"/>
      <c r="E1745" s="1"/>
      <c r="F1745" s="1"/>
      <c r="G1745" s="98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5.75" customHeight="1" x14ac:dyDescent="0.25">
      <c r="A1746" s="1"/>
      <c r="B1746" s="100"/>
      <c r="C1746" s="22"/>
      <c r="D1746" s="1"/>
      <c r="E1746" s="1"/>
      <c r="F1746" s="1"/>
      <c r="G1746" s="98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5.75" customHeight="1" x14ac:dyDescent="0.25">
      <c r="A1747" s="1"/>
      <c r="B1747" s="100"/>
      <c r="C1747" s="22"/>
      <c r="D1747" s="1"/>
      <c r="E1747" s="1"/>
      <c r="F1747" s="1"/>
      <c r="G1747" s="98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5.75" customHeight="1" x14ac:dyDescent="0.25">
      <c r="A1748" s="1"/>
      <c r="B1748" s="100"/>
      <c r="C1748" s="22"/>
      <c r="D1748" s="1"/>
      <c r="E1748" s="1"/>
      <c r="F1748" s="1"/>
      <c r="G1748" s="98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5.75" customHeight="1" x14ac:dyDescent="0.25">
      <c r="A1749" s="1"/>
      <c r="B1749" s="100"/>
      <c r="C1749" s="22"/>
      <c r="D1749" s="1"/>
      <c r="E1749" s="1"/>
      <c r="F1749" s="1"/>
      <c r="G1749" s="98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5.75" customHeight="1" x14ac:dyDescent="0.25">
      <c r="A1750" s="1"/>
      <c r="B1750" s="100"/>
      <c r="C1750" s="22"/>
      <c r="D1750" s="1"/>
      <c r="E1750" s="1"/>
      <c r="F1750" s="1"/>
      <c r="G1750" s="98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5.75" customHeight="1" x14ac:dyDescent="0.25">
      <c r="A1751" s="1"/>
      <c r="B1751" s="100"/>
      <c r="C1751" s="22"/>
      <c r="D1751" s="1"/>
      <c r="E1751" s="1"/>
      <c r="F1751" s="1"/>
      <c r="G1751" s="98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5.75" customHeight="1" x14ac:dyDescent="0.25">
      <c r="A1752" s="1"/>
      <c r="B1752" s="100"/>
      <c r="C1752" s="22"/>
      <c r="D1752" s="1"/>
      <c r="E1752" s="1"/>
      <c r="F1752" s="1"/>
      <c r="G1752" s="98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5.75" customHeight="1" x14ac:dyDescent="0.25">
      <c r="A1753" s="1"/>
      <c r="B1753" s="100"/>
      <c r="C1753" s="22"/>
      <c r="D1753" s="1"/>
      <c r="E1753" s="1"/>
      <c r="F1753" s="1"/>
      <c r="G1753" s="98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5.75" customHeight="1" x14ac:dyDescent="0.25">
      <c r="A1754" s="1"/>
      <c r="B1754" s="100"/>
      <c r="C1754" s="22"/>
      <c r="D1754" s="1"/>
      <c r="E1754" s="1"/>
      <c r="F1754" s="1"/>
      <c r="G1754" s="98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5.75" customHeight="1" x14ac:dyDescent="0.25">
      <c r="A1755" s="1"/>
      <c r="B1755" s="100"/>
      <c r="C1755" s="22"/>
      <c r="D1755" s="1"/>
      <c r="E1755" s="1"/>
      <c r="F1755" s="1"/>
      <c r="G1755" s="98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5.75" customHeight="1" x14ac:dyDescent="0.25">
      <c r="A1756" s="1"/>
      <c r="B1756" s="100"/>
      <c r="C1756" s="22"/>
      <c r="D1756" s="1"/>
      <c r="E1756" s="1"/>
      <c r="F1756" s="1"/>
      <c r="G1756" s="98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5.75" customHeight="1" x14ac:dyDescent="0.25">
      <c r="A1757" s="1"/>
      <c r="B1757" s="100"/>
      <c r="C1757" s="22"/>
      <c r="D1757" s="1"/>
      <c r="E1757" s="1"/>
      <c r="F1757" s="1"/>
      <c r="G1757" s="98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5.75" customHeight="1" x14ac:dyDescent="0.25">
      <c r="A1758" s="1"/>
      <c r="B1758" s="100"/>
      <c r="C1758" s="22"/>
      <c r="D1758" s="1"/>
      <c r="E1758" s="1"/>
      <c r="F1758" s="1"/>
      <c r="G1758" s="98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5.75" customHeight="1" x14ac:dyDescent="0.25">
      <c r="A1759" s="1"/>
      <c r="B1759" s="100"/>
      <c r="C1759" s="22"/>
      <c r="D1759" s="1"/>
      <c r="E1759" s="1"/>
      <c r="F1759" s="1"/>
      <c r="G1759" s="98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5.75" customHeight="1" x14ac:dyDescent="0.25">
      <c r="A1760" s="1"/>
      <c r="B1760" s="100"/>
      <c r="C1760" s="22"/>
      <c r="D1760" s="1"/>
      <c r="E1760" s="1"/>
      <c r="F1760" s="1"/>
      <c r="G1760" s="98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5.75" customHeight="1" x14ac:dyDescent="0.25">
      <c r="A1761" s="1"/>
      <c r="B1761" s="100"/>
      <c r="C1761" s="22"/>
      <c r="D1761" s="1"/>
      <c r="E1761" s="1"/>
      <c r="F1761" s="1"/>
      <c r="G1761" s="98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5.75" customHeight="1" x14ac:dyDescent="0.25">
      <c r="A1762" s="1"/>
      <c r="B1762" s="100"/>
      <c r="C1762" s="22"/>
      <c r="D1762" s="1"/>
      <c r="E1762" s="1"/>
      <c r="F1762" s="1"/>
      <c r="G1762" s="98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5.75" customHeight="1" x14ac:dyDescent="0.25">
      <c r="A1763" s="1"/>
      <c r="B1763" s="100"/>
      <c r="C1763" s="22"/>
      <c r="D1763" s="1"/>
      <c r="E1763" s="1"/>
      <c r="F1763" s="1"/>
      <c r="G1763" s="98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5.75" customHeight="1" x14ac:dyDescent="0.25">
      <c r="A1764" s="1"/>
      <c r="B1764" s="100"/>
      <c r="C1764" s="22"/>
      <c r="D1764" s="1"/>
      <c r="E1764" s="1"/>
      <c r="F1764" s="1"/>
      <c r="G1764" s="98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5.75" customHeight="1" x14ac:dyDescent="0.25">
      <c r="A1765" s="1"/>
      <c r="B1765" s="100"/>
      <c r="C1765" s="22"/>
      <c r="D1765" s="1"/>
      <c r="E1765" s="1"/>
      <c r="F1765" s="1"/>
      <c r="G1765" s="98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5.75" customHeight="1" x14ac:dyDescent="0.25">
      <c r="A1766" s="1"/>
      <c r="B1766" s="100"/>
      <c r="C1766" s="22"/>
      <c r="D1766" s="1"/>
      <c r="E1766" s="1"/>
      <c r="F1766" s="1"/>
      <c r="G1766" s="98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5.75" customHeight="1" x14ac:dyDescent="0.25">
      <c r="A1767" s="1"/>
      <c r="B1767" s="100"/>
      <c r="C1767" s="22"/>
      <c r="D1767" s="1"/>
      <c r="E1767" s="1"/>
      <c r="F1767" s="1"/>
      <c r="G1767" s="98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5.75" customHeight="1" x14ac:dyDescent="0.25">
      <c r="A1768" s="1"/>
      <c r="B1768" s="100"/>
      <c r="C1768" s="22"/>
      <c r="D1768" s="1"/>
      <c r="E1768" s="1"/>
      <c r="F1768" s="1"/>
      <c r="G1768" s="98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5.75" customHeight="1" x14ac:dyDescent="0.25">
      <c r="A1769" s="1"/>
      <c r="B1769" s="100"/>
      <c r="C1769" s="22"/>
      <c r="D1769" s="1"/>
      <c r="E1769" s="1"/>
      <c r="F1769" s="1"/>
      <c r="G1769" s="98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5.75" customHeight="1" x14ac:dyDescent="0.25">
      <c r="A1770" s="1"/>
      <c r="B1770" s="100"/>
      <c r="C1770" s="22"/>
      <c r="D1770" s="1"/>
      <c r="E1770" s="1"/>
      <c r="F1770" s="1"/>
      <c r="G1770" s="98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5.75" customHeight="1" x14ac:dyDescent="0.25">
      <c r="A1771" s="1"/>
      <c r="B1771" s="100"/>
      <c r="C1771" s="22"/>
      <c r="D1771" s="1"/>
      <c r="E1771" s="1"/>
      <c r="F1771" s="1"/>
      <c r="G1771" s="98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5.75" customHeight="1" x14ac:dyDescent="0.25">
      <c r="A1772" s="1"/>
      <c r="B1772" s="100"/>
      <c r="C1772" s="22"/>
      <c r="D1772" s="1"/>
      <c r="E1772" s="1"/>
      <c r="F1772" s="1"/>
      <c r="G1772" s="98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5.75" customHeight="1" x14ac:dyDescent="0.25">
      <c r="A1773" s="1"/>
      <c r="B1773" s="100"/>
      <c r="C1773" s="22"/>
      <c r="D1773" s="1"/>
      <c r="E1773" s="1"/>
      <c r="F1773" s="1"/>
      <c r="G1773" s="98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5.75" customHeight="1" x14ac:dyDescent="0.25">
      <c r="A1774" s="1"/>
      <c r="B1774" s="100"/>
      <c r="C1774" s="22"/>
      <c r="D1774" s="1"/>
      <c r="E1774" s="1"/>
      <c r="F1774" s="1"/>
      <c r="G1774" s="98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5.75" customHeight="1" x14ac:dyDescent="0.25">
      <c r="A1775" s="1"/>
      <c r="B1775" s="100"/>
      <c r="C1775" s="22"/>
      <c r="D1775" s="1"/>
      <c r="E1775" s="1"/>
      <c r="F1775" s="1"/>
      <c r="G1775" s="98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5.75" customHeight="1" x14ac:dyDescent="0.25">
      <c r="A1776" s="1"/>
      <c r="B1776" s="100"/>
      <c r="C1776" s="22"/>
      <c r="D1776" s="1"/>
      <c r="E1776" s="1"/>
      <c r="F1776" s="1"/>
      <c r="G1776" s="98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5.75" customHeight="1" x14ac:dyDescent="0.25">
      <c r="A1777" s="1"/>
      <c r="B1777" s="100"/>
      <c r="C1777" s="22"/>
      <c r="D1777" s="1"/>
      <c r="E1777" s="1"/>
      <c r="F1777" s="1"/>
      <c r="G1777" s="98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5.75" customHeight="1" x14ac:dyDescent="0.25">
      <c r="A1778" s="1"/>
      <c r="B1778" s="100"/>
      <c r="C1778" s="22"/>
      <c r="D1778" s="1"/>
      <c r="E1778" s="1"/>
      <c r="F1778" s="1"/>
      <c r="G1778" s="98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5.75" customHeight="1" x14ac:dyDescent="0.25">
      <c r="A1779" s="1"/>
      <c r="B1779" s="100"/>
      <c r="C1779" s="22"/>
      <c r="D1779" s="1"/>
      <c r="E1779" s="1"/>
      <c r="F1779" s="1"/>
      <c r="G1779" s="98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5.75" customHeight="1" x14ac:dyDescent="0.25">
      <c r="A1780" s="1"/>
      <c r="B1780" s="100"/>
      <c r="C1780" s="22"/>
      <c r="D1780" s="1"/>
      <c r="E1780" s="1"/>
      <c r="F1780" s="1"/>
      <c r="G1780" s="98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5.75" customHeight="1" x14ac:dyDescent="0.25">
      <c r="A1781" s="1"/>
      <c r="B1781" s="100"/>
      <c r="C1781" s="22"/>
      <c r="D1781" s="1"/>
      <c r="E1781" s="1"/>
      <c r="F1781" s="1"/>
      <c r="G1781" s="98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5.75" customHeight="1" x14ac:dyDescent="0.25">
      <c r="A1782" s="1"/>
      <c r="B1782" s="100"/>
      <c r="C1782" s="22"/>
      <c r="D1782" s="1"/>
      <c r="E1782" s="1"/>
      <c r="F1782" s="1"/>
      <c r="G1782" s="98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5.75" customHeight="1" x14ac:dyDescent="0.25">
      <c r="A1783" s="1"/>
      <c r="B1783" s="100"/>
      <c r="C1783" s="22"/>
      <c r="D1783" s="1"/>
      <c r="E1783" s="1"/>
      <c r="F1783" s="1"/>
      <c r="G1783" s="98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5.75" customHeight="1" x14ac:dyDescent="0.25">
      <c r="A1784" s="1"/>
      <c r="B1784" s="100"/>
      <c r="C1784" s="22"/>
      <c r="D1784" s="1"/>
      <c r="E1784" s="1"/>
      <c r="F1784" s="1"/>
      <c r="G1784" s="98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5.75" customHeight="1" x14ac:dyDescent="0.25">
      <c r="A1785" s="1"/>
      <c r="B1785" s="100"/>
      <c r="C1785" s="22"/>
      <c r="D1785" s="1"/>
      <c r="E1785" s="1"/>
      <c r="F1785" s="1"/>
      <c r="G1785" s="98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5.75" customHeight="1" x14ac:dyDescent="0.25">
      <c r="A1786" s="1"/>
      <c r="B1786" s="100"/>
      <c r="C1786" s="22"/>
      <c r="D1786" s="1"/>
      <c r="E1786" s="1"/>
      <c r="F1786" s="1"/>
      <c r="G1786" s="98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5.75" customHeight="1" x14ac:dyDescent="0.25">
      <c r="A1787" s="1"/>
      <c r="B1787" s="100"/>
      <c r="C1787" s="22"/>
      <c r="D1787" s="1"/>
      <c r="E1787" s="1"/>
      <c r="F1787" s="1"/>
      <c r="G1787" s="98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5.75" customHeight="1" x14ac:dyDescent="0.25">
      <c r="A1788" s="1"/>
      <c r="B1788" s="100"/>
      <c r="C1788" s="22"/>
      <c r="D1788" s="1"/>
      <c r="E1788" s="1"/>
      <c r="F1788" s="1"/>
      <c r="G1788" s="98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5.75" customHeight="1" x14ac:dyDescent="0.25">
      <c r="A1789" s="1"/>
      <c r="B1789" s="100"/>
      <c r="C1789" s="22"/>
      <c r="D1789" s="1"/>
      <c r="E1789" s="1"/>
      <c r="F1789" s="1"/>
      <c r="G1789" s="98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5.75" customHeight="1" x14ac:dyDescent="0.25">
      <c r="A1790" s="1"/>
      <c r="B1790" s="100"/>
      <c r="C1790" s="22"/>
      <c r="D1790" s="1"/>
      <c r="E1790" s="1"/>
      <c r="F1790" s="1"/>
      <c r="G1790" s="98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5.75" customHeight="1" x14ac:dyDescent="0.25">
      <c r="A1791" s="1"/>
      <c r="B1791" s="100"/>
      <c r="C1791" s="22"/>
      <c r="D1791" s="1"/>
      <c r="E1791" s="1"/>
      <c r="F1791" s="1"/>
      <c r="G1791" s="98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5.75" customHeight="1" x14ac:dyDescent="0.25">
      <c r="A1792" s="1"/>
      <c r="B1792" s="100"/>
      <c r="C1792" s="22"/>
      <c r="D1792" s="1"/>
      <c r="E1792" s="1"/>
      <c r="F1792" s="1"/>
      <c r="G1792" s="98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5.75" customHeight="1" x14ac:dyDescent="0.25">
      <c r="A1793" s="1"/>
      <c r="B1793" s="100"/>
      <c r="C1793" s="22"/>
      <c r="D1793" s="1"/>
      <c r="E1793" s="1"/>
      <c r="F1793" s="1"/>
      <c r="G1793" s="98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5.75" customHeight="1" x14ac:dyDescent="0.25">
      <c r="A1794" s="1"/>
      <c r="B1794" s="100"/>
      <c r="C1794" s="22"/>
      <c r="D1794" s="1"/>
      <c r="E1794" s="1"/>
      <c r="F1794" s="1"/>
      <c r="G1794" s="98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5.75" customHeight="1" x14ac:dyDescent="0.25">
      <c r="A1795" s="1"/>
      <c r="B1795" s="100"/>
      <c r="C1795" s="22"/>
      <c r="D1795" s="1"/>
      <c r="E1795" s="1"/>
      <c r="F1795" s="1"/>
      <c r="G1795" s="98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5.75" customHeight="1" x14ac:dyDescent="0.25">
      <c r="A1796" s="1"/>
      <c r="B1796" s="100"/>
      <c r="C1796" s="22"/>
      <c r="D1796" s="1"/>
      <c r="E1796" s="1"/>
      <c r="F1796" s="1"/>
      <c r="G1796" s="98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5.75" customHeight="1" x14ac:dyDescent="0.25">
      <c r="A1797" s="1"/>
      <c r="B1797" s="100"/>
      <c r="C1797" s="22"/>
      <c r="D1797" s="1"/>
      <c r="E1797" s="1"/>
      <c r="F1797" s="1"/>
      <c r="G1797" s="98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5.75" customHeight="1" x14ac:dyDescent="0.25">
      <c r="A1798" s="1"/>
      <c r="B1798" s="100"/>
      <c r="C1798" s="22"/>
      <c r="D1798" s="1"/>
      <c r="E1798" s="1"/>
      <c r="F1798" s="1"/>
      <c r="G1798" s="98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5.75" customHeight="1" x14ac:dyDescent="0.25">
      <c r="A1799" s="1"/>
      <c r="B1799" s="100"/>
      <c r="C1799" s="22"/>
      <c r="D1799" s="1"/>
      <c r="E1799" s="1"/>
      <c r="F1799" s="1"/>
      <c r="G1799" s="98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5.75" customHeight="1" x14ac:dyDescent="0.25">
      <c r="A1800" s="1"/>
      <c r="B1800" s="100"/>
      <c r="C1800" s="22"/>
      <c r="D1800" s="1"/>
      <c r="E1800" s="1"/>
      <c r="F1800" s="1"/>
      <c r="G1800" s="98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5.75" customHeight="1" x14ac:dyDescent="0.25">
      <c r="A1801" s="1"/>
      <c r="B1801" s="100"/>
      <c r="C1801" s="22"/>
      <c r="D1801" s="1"/>
      <c r="E1801" s="1"/>
      <c r="F1801" s="1"/>
      <c r="G1801" s="98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5.75" customHeight="1" x14ac:dyDescent="0.25">
      <c r="A1802" s="1"/>
      <c r="B1802" s="100"/>
      <c r="C1802" s="22"/>
      <c r="D1802" s="1"/>
      <c r="E1802" s="1"/>
      <c r="F1802" s="1"/>
      <c r="G1802" s="98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5.75" customHeight="1" x14ac:dyDescent="0.25">
      <c r="A1803" s="1"/>
      <c r="B1803" s="100"/>
      <c r="C1803" s="22"/>
      <c r="D1803" s="1"/>
      <c r="E1803" s="1"/>
      <c r="F1803" s="1"/>
      <c r="G1803" s="98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5.75" customHeight="1" x14ac:dyDescent="0.25">
      <c r="A1804" s="1"/>
      <c r="B1804" s="100"/>
      <c r="C1804" s="22"/>
      <c r="D1804" s="1"/>
      <c r="E1804" s="1"/>
      <c r="F1804" s="1"/>
      <c r="G1804" s="98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5.75" customHeight="1" x14ac:dyDescent="0.25">
      <c r="A1805" s="1"/>
      <c r="B1805" s="100"/>
      <c r="C1805" s="22"/>
      <c r="D1805" s="1"/>
      <c r="E1805" s="1"/>
      <c r="F1805" s="1"/>
      <c r="G1805" s="98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5.75" customHeight="1" x14ac:dyDescent="0.25">
      <c r="A1806" s="1"/>
      <c r="B1806" s="100"/>
      <c r="C1806" s="22"/>
      <c r="D1806" s="1"/>
      <c r="E1806" s="1"/>
      <c r="F1806" s="1"/>
      <c r="G1806" s="98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5.75" customHeight="1" x14ac:dyDescent="0.25">
      <c r="A1807" s="1"/>
      <c r="B1807" s="100"/>
      <c r="C1807" s="22"/>
      <c r="D1807" s="1"/>
      <c r="E1807" s="1"/>
      <c r="F1807" s="1"/>
      <c r="G1807" s="98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5.75" customHeight="1" x14ac:dyDescent="0.25">
      <c r="A1808" s="1"/>
      <c r="B1808" s="100"/>
      <c r="C1808" s="22"/>
      <c r="D1808" s="1"/>
      <c r="E1808" s="1"/>
      <c r="F1808" s="1"/>
      <c r="G1808" s="98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5.75" customHeight="1" x14ac:dyDescent="0.25">
      <c r="A1809" s="1"/>
      <c r="B1809" s="100"/>
      <c r="C1809" s="22"/>
      <c r="D1809" s="1"/>
      <c r="E1809" s="1"/>
      <c r="F1809" s="1"/>
      <c r="G1809" s="98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5.75" customHeight="1" x14ac:dyDescent="0.25">
      <c r="A1810" s="1"/>
      <c r="B1810" s="100"/>
      <c r="C1810" s="22"/>
      <c r="D1810" s="1"/>
      <c r="E1810" s="1"/>
      <c r="F1810" s="1"/>
      <c r="G1810" s="98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5.75" customHeight="1" x14ac:dyDescent="0.25">
      <c r="A1811" s="1"/>
      <c r="B1811" s="100"/>
      <c r="C1811" s="22"/>
      <c r="D1811" s="1"/>
      <c r="E1811" s="1"/>
      <c r="F1811" s="1"/>
      <c r="G1811" s="98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5.75" customHeight="1" x14ac:dyDescent="0.25">
      <c r="A1812" s="1"/>
      <c r="B1812" s="100"/>
      <c r="C1812" s="22"/>
      <c r="D1812" s="1"/>
      <c r="E1812" s="1"/>
      <c r="F1812" s="1"/>
      <c r="G1812" s="98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5.75" customHeight="1" x14ac:dyDescent="0.25">
      <c r="A1813" s="1"/>
      <c r="B1813" s="100"/>
      <c r="C1813" s="22"/>
      <c r="D1813" s="1"/>
      <c r="E1813" s="1"/>
      <c r="F1813" s="1"/>
      <c r="G1813" s="98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5.75" customHeight="1" x14ac:dyDescent="0.25">
      <c r="A1814" s="1"/>
      <c r="B1814" s="100"/>
      <c r="C1814" s="22"/>
      <c r="D1814" s="1"/>
      <c r="E1814" s="1"/>
      <c r="F1814" s="1"/>
      <c r="G1814" s="98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5.75" customHeight="1" x14ac:dyDescent="0.25">
      <c r="A1815" s="1"/>
      <c r="B1815" s="100"/>
      <c r="C1815" s="22"/>
      <c r="D1815" s="1"/>
      <c r="E1815" s="1"/>
      <c r="F1815" s="1"/>
      <c r="G1815" s="98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5.75" customHeight="1" x14ac:dyDescent="0.25">
      <c r="A1816" s="1"/>
      <c r="B1816" s="100"/>
      <c r="C1816" s="22"/>
      <c r="D1816" s="1"/>
      <c r="E1816" s="1"/>
      <c r="F1816" s="1"/>
      <c r="G1816" s="98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5.75" customHeight="1" x14ac:dyDescent="0.25">
      <c r="A1817" s="1"/>
      <c r="B1817" s="100"/>
      <c r="C1817" s="22"/>
      <c r="D1817" s="1"/>
      <c r="E1817" s="1"/>
      <c r="F1817" s="1"/>
      <c r="G1817" s="98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5.75" customHeight="1" x14ac:dyDescent="0.25">
      <c r="A1818" s="1"/>
      <c r="B1818" s="100"/>
      <c r="C1818" s="22"/>
      <c r="D1818" s="1"/>
      <c r="E1818" s="1"/>
      <c r="F1818" s="1"/>
      <c r="G1818" s="98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5.75" customHeight="1" x14ac:dyDescent="0.25">
      <c r="A1819" s="1"/>
      <c r="B1819" s="100"/>
      <c r="C1819" s="22"/>
      <c r="D1819" s="1"/>
      <c r="E1819" s="1"/>
      <c r="F1819" s="1"/>
      <c r="G1819" s="98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5.75" customHeight="1" x14ac:dyDescent="0.25">
      <c r="A1820" s="1"/>
      <c r="B1820" s="100"/>
      <c r="C1820" s="22"/>
      <c r="D1820" s="1"/>
      <c r="E1820" s="1"/>
      <c r="F1820" s="1"/>
      <c r="G1820" s="98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5.75" customHeight="1" x14ac:dyDescent="0.25">
      <c r="A1821" s="1"/>
      <c r="B1821" s="100"/>
      <c r="C1821" s="22"/>
      <c r="D1821" s="1"/>
      <c r="E1821" s="1"/>
      <c r="F1821" s="1"/>
      <c r="G1821" s="98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5.75" customHeight="1" x14ac:dyDescent="0.25">
      <c r="A1822" s="1"/>
      <c r="B1822" s="100"/>
      <c r="C1822" s="22"/>
      <c r="D1822" s="1"/>
      <c r="E1822" s="1"/>
      <c r="F1822" s="1"/>
      <c r="G1822" s="98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5.75" customHeight="1" x14ac:dyDescent="0.25">
      <c r="A1823" s="1"/>
      <c r="B1823" s="100"/>
      <c r="C1823" s="22"/>
      <c r="D1823" s="1"/>
      <c r="E1823" s="1"/>
      <c r="F1823" s="1"/>
      <c r="G1823" s="98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5.75" customHeight="1" x14ac:dyDescent="0.25">
      <c r="A1824" s="1"/>
      <c r="B1824" s="100"/>
      <c r="C1824" s="22"/>
      <c r="D1824" s="1"/>
      <c r="E1824" s="1"/>
      <c r="F1824" s="1"/>
      <c r="G1824" s="98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5.75" customHeight="1" x14ac:dyDescent="0.25">
      <c r="A1825" s="1"/>
      <c r="B1825" s="100"/>
      <c r="C1825" s="22"/>
      <c r="D1825" s="1"/>
      <c r="E1825" s="1"/>
      <c r="F1825" s="1"/>
      <c r="G1825" s="98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5.75" customHeight="1" x14ac:dyDescent="0.25">
      <c r="A1826" s="1"/>
      <c r="B1826" s="100"/>
      <c r="C1826" s="22"/>
      <c r="D1826" s="1"/>
      <c r="E1826" s="1"/>
      <c r="F1826" s="1"/>
      <c r="G1826" s="98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5.75" customHeight="1" x14ac:dyDescent="0.25">
      <c r="A1827" s="1"/>
      <c r="B1827" s="100"/>
      <c r="C1827" s="22"/>
      <c r="D1827" s="1"/>
      <c r="E1827" s="1"/>
      <c r="F1827" s="1"/>
      <c r="G1827" s="98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5.75" customHeight="1" x14ac:dyDescent="0.25">
      <c r="A1828" s="1"/>
      <c r="B1828" s="100"/>
      <c r="C1828" s="22"/>
      <c r="D1828" s="1"/>
      <c r="E1828" s="1"/>
      <c r="F1828" s="1"/>
      <c r="G1828" s="98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5.75" customHeight="1" x14ac:dyDescent="0.25">
      <c r="A1829" s="1"/>
      <c r="B1829" s="100"/>
      <c r="C1829" s="22"/>
      <c r="D1829" s="1"/>
      <c r="E1829" s="1"/>
      <c r="F1829" s="1"/>
      <c r="G1829" s="98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5.75" customHeight="1" x14ac:dyDescent="0.25">
      <c r="A1830" s="1"/>
      <c r="B1830" s="100"/>
      <c r="C1830" s="22"/>
      <c r="D1830" s="1"/>
      <c r="E1830" s="1"/>
      <c r="F1830" s="1"/>
      <c r="G1830" s="98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5.75" customHeight="1" x14ac:dyDescent="0.25">
      <c r="A1831" s="1"/>
      <c r="B1831" s="100"/>
      <c r="C1831" s="22"/>
      <c r="D1831" s="1"/>
      <c r="E1831" s="1"/>
      <c r="F1831" s="1"/>
      <c r="G1831" s="98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5.75" customHeight="1" x14ac:dyDescent="0.25">
      <c r="A1832" s="1"/>
      <c r="B1832" s="100"/>
      <c r="C1832" s="22"/>
      <c r="D1832" s="1"/>
      <c r="E1832" s="1"/>
      <c r="F1832" s="1"/>
      <c r="G1832" s="98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5.75" customHeight="1" x14ac:dyDescent="0.25">
      <c r="A1833" s="1"/>
      <c r="B1833" s="100"/>
      <c r="C1833" s="22"/>
      <c r="D1833" s="1"/>
      <c r="E1833" s="1"/>
      <c r="F1833" s="1"/>
      <c r="G1833" s="98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5.75" customHeight="1" x14ac:dyDescent="0.25">
      <c r="A1834" s="1"/>
      <c r="B1834" s="100"/>
      <c r="C1834" s="22"/>
      <c r="D1834" s="1"/>
      <c r="E1834" s="1"/>
      <c r="F1834" s="1"/>
      <c r="G1834" s="98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5.75" customHeight="1" x14ac:dyDescent="0.25">
      <c r="A1835" s="1"/>
      <c r="B1835" s="100"/>
      <c r="C1835" s="22"/>
      <c r="D1835" s="1"/>
      <c r="E1835" s="1"/>
      <c r="F1835" s="1"/>
      <c r="G1835" s="98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5.75" customHeight="1" x14ac:dyDescent="0.25">
      <c r="A1836" s="1"/>
      <c r="B1836" s="100"/>
      <c r="C1836" s="22"/>
      <c r="D1836" s="1"/>
      <c r="E1836" s="1"/>
      <c r="F1836" s="1"/>
      <c r="G1836" s="98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5.75" customHeight="1" x14ac:dyDescent="0.25">
      <c r="A1837" s="1"/>
      <c r="B1837" s="100"/>
      <c r="C1837" s="22"/>
      <c r="D1837" s="1"/>
      <c r="E1837" s="1"/>
      <c r="F1837" s="1"/>
      <c r="G1837" s="98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5.75" customHeight="1" x14ac:dyDescent="0.25">
      <c r="A1838" s="1"/>
      <c r="B1838" s="100"/>
      <c r="C1838" s="22"/>
      <c r="D1838" s="1"/>
      <c r="E1838" s="1"/>
      <c r="F1838" s="1"/>
      <c r="G1838" s="98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5.75" customHeight="1" x14ac:dyDescent="0.25">
      <c r="A1839" s="1"/>
      <c r="B1839" s="100"/>
      <c r="C1839" s="22"/>
      <c r="D1839" s="1"/>
      <c r="E1839" s="1"/>
      <c r="F1839" s="1"/>
      <c r="G1839" s="98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5.75" customHeight="1" x14ac:dyDescent="0.25">
      <c r="A1840" s="1"/>
      <c r="B1840" s="100"/>
      <c r="C1840" s="22"/>
      <c r="D1840" s="1"/>
      <c r="E1840" s="1"/>
      <c r="F1840" s="1"/>
      <c r="G1840" s="98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5.75" customHeight="1" x14ac:dyDescent="0.25">
      <c r="A1841" s="1"/>
      <c r="B1841" s="100"/>
      <c r="C1841" s="22"/>
      <c r="D1841" s="1"/>
      <c r="E1841" s="1"/>
      <c r="F1841" s="1"/>
      <c r="G1841" s="98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5.75" customHeight="1" x14ac:dyDescent="0.25">
      <c r="A1842" s="1"/>
      <c r="B1842" s="100"/>
      <c r="C1842" s="22"/>
      <c r="D1842" s="1"/>
      <c r="E1842" s="1"/>
      <c r="F1842" s="1"/>
      <c r="G1842" s="98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5.75" customHeight="1" x14ac:dyDescent="0.25">
      <c r="A1843" s="1"/>
      <c r="B1843" s="100"/>
      <c r="C1843" s="22"/>
      <c r="D1843" s="1"/>
      <c r="E1843" s="1"/>
      <c r="F1843" s="1"/>
      <c r="G1843" s="98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5.75" customHeight="1" x14ac:dyDescent="0.25">
      <c r="A1844" s="1"/>
      <c r="B1844" s="100"/>
      <c r="C1844" s="22"/>
      <c r="D1844" s="1"/>
      <c r="E1844" s="1"/>
      <c r="F1844" s="1"/>
      <c r="G1844" s="98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5.75" customHeight="1" x14ac:dyDescent="0.25">
      <c r="A1845" s="1"/>
      <c r="B1845" s="100"/>
      <c r="C1845" s="22"/>
      <c r="D1845" s="1"/>
      <c r="E1845" s="1"/>
      <c r="F1845" s="1"/>
      <c r="G1845" s="98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5.75" customHeight="1" x14ac:dyDescent="0.25">
      <c r="A1846" s="1"/>
      <c r="B1846" s="100"/>
      <c r="C1846" s="22"/>
      <c r="D1846" s="1"/>
      <c r="E1846" s="1"/>
      <c r="F1846" s="1"/>
      <c r="G1846" s="98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5.75" customHeight="1" x14ac:dyDescent="0.25">
      <c r="A1847" s="1"/>
      <c r="B1847" s="100"/>
      <c r="C1847" s="22"/>
      <c r="D1847" s="1"/>
      <c r="E1847" s="1"/>
      <c r="F1847" s="1"/>
      <c r="G1847" s="98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5.75" customHeight="1" x14ac:dyDescent="0.25">
      <c r="A1848" s="1"/>
      <c r="B1848" s="100"/>
      <c r="C1848" s="22"/>
      <c r="D1848" s="1"/>
      <c r="E1848" s="1"/>
      <c r="F1848" s="1"/>
      <c r="G1848" s="98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5.75" customHeight="1" x14ac:dyDescent="0.25">
      <c r="A1849" s="1"/>
      <c r="B1849" s="100"/>
      <c r="C1849" s="22"/>
      <c r="D1849" s="1"/>
      <c r="E1849" s="1"/>
      <c r="F1849" s="1"/>
      <c r="G1849" s="98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5.75" customHeight="1" x14ac:dyDescent="0.25">
      <c r="A1850" s="1"/>
      <c r="B1850" s="100"/>
      <c r="C1850" s="22"/>
      <c r="D1850" s="1"/>
      <c r="E1850" s="1"/>
      <c r="F1850" s="1"/>
      <c r="G1850" s="98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5.75" customHeight="1" x14ac:dyDescent="0.25">
      <c r="A1851" s="1"/>
      <c r="B1851" s="100"/>
      <c r="C1851" s="22"/>
      <c r="D1851" s="1"/>
      <c r="E1851" s="1"/>
      <c r="F1851" s="1"/>
      <c r="G1851" s="98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5.75" customHeight="1" x14ac:dyDescent="0.25">
      <c r="A1852" s="1"/>
      <c r="B1852" s="100"/>
      <c r="C1852" s="22"/>
      <c r="D1852" s="1"/>
      <c r="E1852" s="1"/>
      <c r="F1852" s="1"/>
      <c r="G1852" s="98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5.75" customHeight="1" x14ac:dyDescent="0.25">
      <c r="A1853" s="1"/>
      <c r="B1853" s="100"/>
      <c r="C1853" s="22"/>
      <c r="D1853" s="1"/>
      <c r="E1853" s="1"/>
      <c r="F1853" s="1"/>
      <c r="G1853" s="98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5.75" customHeight="1" x14ac:dyDescent="0.25">
      <c r="A1854" s="1"/>
      <c r="B1854" s="100"/>
      <c r="C1854" s="22"/>
      <c r="D1854" s="1"/>
      <c r="E1854" s="1"/>
      <c r="F1854" s="1"/>
      <c r="G1854" s="98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5.75" customHeight="1" x14ac:dyDescent="0.25">
      <c r="A1855" s="1"/>
      <c r="B1855" s="100"/>
      <c r="C1855" s="22"/>
      <c r="D1855" s="1"/>
      <c r="E1855" s="1"/>
      <c r="F1855" s="1"/>
      <c r="G1855" s="98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5.75" customHeight="1" x14ac:dyDescent="0.25">
      <c r="A1856" s="1"/>
      <c r="B1856" s="100"/>
      <c r="C1856" s="22"/>
      <c r="D1856" s="1"/>
      <c r="E1856" s="1"/>
      <c r="F1856" s="1"/>
      <c r="G1856" s="98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5.75" customHeight="1" x14ac:dyDescent="0.25">
      <c r="A1857" s="1"/>
      <c r="B1857" s="100"/>
      <c r="C1857" s="22"/>
      <c r="D1857" s="1"/>
      <c r="E1857" s="1"/>
      <c r="F1857" s="1"/>
      <c r="G1857" s="98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5.75" customHeight="1" x14ac:dyDescent="0.25">
      <c r="A1858" s="1"/>
      <c r="B1858" s="100"/>
      <c r="C1858" s="22"/>
      <c r="D1858" s="1"/>
      <c r="E1858" s="1"/>
      <c r="F1858" s="1"/>
      <c r="G1858" s="98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5.75" customHeight="1" x14ac:dyDescent="0.25">
      <c r="A1859" s="1"/>
      <c r="B1859" s="100"/>
      <c r="C1859" s="22"/>
      <c r="D1859" s="1"/>
      <c r="E1859" s="1"/>
      <c r="F1859" s="1"/>
      <c r="G1859" s="98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5.75" customHeight="1" x14ac:dyDescent="0.25">
      <c r="A1860" s="1"/>
      <c r="B1860" s="100"/>
      <c r="C1860" s="22"/>
      <c r="D1860" s="1"/>
      <c r="E1860" s="1"/>
      <c r="F1860" s="1"/>
      <c r="G1860" s="98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5.75" customHeight="1" x14ac:dyDescent="0.25">
      <c r="A1861" s="1"/>
      <c r="B1861" s="100"/>
      <c r="C1861" s="22"/>
      <c r="D1861" s="1"/>
      <c r="E1861" s="1"/>
      <c r="F1861" s="1"/>
      <c r="G1861" s="98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5.75" customHeight="1" x14ac:dyDescent="0.25">
      <c r="A1862" s="1"/>
      <c r="B1862" s="100"/>
      <c r="C1862" s="22"/>
      <c r="D1862" s="1"/>
      <c r="E1862" s="1"/>
      <c r="F1862" s="1"/>
      <c r="G1862" s="98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5.75" customHeight="1" x14ac:dyDescent="0.25">
      <c r="A1863" s="1"/>
      <c r="B1863" s="100"/>
      <c r="C1863" s="22"/>
      <c r="D1863" s="1"/>
      <c r="E1863" s="1"/>
      <c r="F1863" s="1"/>
      <c r="G1863" s="98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5.75" customHeight="1" x14ac:dyDescent="0.25">
      <c r="A1864" s="1"/>
      <c r="B1864" s="100"/>
      <c r="C1864" s="22"/>
      <c r="D1864" s="1"/>
      <c r="E1864" s="1"/>
      <c r="F1864" s="1"/>
      <c r="G1864" s="98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5.75" customHeight="1" x14ac:dyDescent="0.25">
      <c r="A1865" s="1"/>
      <c r="B1865" s="100"/>
      <c r="C1865" s="22"/>
      <c r="D1865" s="1"/>
      <c r="E1865" s="1"/>
      <c r="F1865" s="1"/>
      <c r="G1865" s="98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5.75" customHeight="1" x14ac:dyDescent="0.25">
      <c r="A1866" s="1"/>
      <c r="B1866" s="100"/>
      <c r="C1866" s="22"/>
      <c r="D1866" s="1"/>
      <c r="E1866" s="1"/>
      <c r="F1866" s="1"/>
      <c r="G1866" s="98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5.75" customHeight="1" x14ac:dyDescent="0.25">
      <c r="A1867" s="1"/>
      <c r="B1867" s="100"/>
      <c r="C1867" s="22"/>
      <c r="D1867" s="1"/>
      <c r="E1867" s="1"/>
      <c r="F1867" s="1"/>
      <c r="G1867" s="98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5.75" customHeight="1" x14ac:dyDescent="0.25">
      <c r="A1868" s="1"/>
      <c r="B1868" s="100"/>
      <c r="C1868" s="22"/>
      <c r="D1868" s="1"/>
      <c r="E1868" s="1"/>
      <c r="F1868" s="1"/>
      <c r="G1868" s="98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5.75" customHeight="1" x14ac:dyDescent="0.25">
      <c r="A1869" s="1"/>
      <c r="B1869" s="100"/>
      <c r="C1869" s="22"/>
      <c r="D1869" s="1"/>
      <c r="E1869" s="1"/>
      <c r="F1869" s="1"/>
      <c r="G1869" s="98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5.75" customHeight="1" x14ac:dyDescent="0.25">
      <c r="A1870" s="1"/>
      <c r="B1870" s="100"/>
      <c r="C1870" s="22"/>
      <c r="D1870" s="1"/>
      <c r="E1870" s="1"/>
      <c r="F1870" s="1"/>
      <c r="G1870" s="98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5.75" customHeight="1" x14ac:dyDescent="0.25">
      <c r="A1871" s="1"/>
      <c r="B1871" s="100"/>
      <c r="C1871" s="22"/>
      <c r="D1871" s="1"/>
      <c r="E1871" s="1"/>
      <c r="F1871" s="1"/>
      <c r="G1871" s="98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5.75" customHeight="1" x14ac:dyDescent="0.25">
      <c r="A1872" s="1"/>
      <c r="B1872" s="100"/>
      <c r="C1872" s="22"/>
      <c r="D1872" s="1"/>
      <c r="E1872" s="1"/>
      <c r="F1872" s="1"/>
      <c r="G1872" s="98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5.75" customHeight="1" x14ac:dyDescent="0.25">
      <c r="A1873" s="1"/>
      <c r="B1873" s="100"/>
      <c r="C1873" s="22"/>
      <c r="D1873" s="1"/>
      <c r="E1873" s="1"/>
      <c r="F1873" s="1"/>
      <c r="G1873" s="98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5.75" customHeight="1" x14ac:dyDescent="0.25">
      <c r="A1874" s="1"/>
      <c r="B1874" s="100"/>
      <c r="C1874" s="22"/>
      <c r="D1874" s="1"/>
      <c r="E1874" s="1"/>
      <c r="F1874" s="1"/>
      <c r="G1874" s="98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5.75" customHeight="1" x14ac:dyDescent="0.25">
      <c r="A1875" s="1"/>
      <c r="B1875" s="100"/>
      <c r="C1875" s="22"/>
      <c r="D1875" s="1"/>
      <c r="E1875" s="1"/>
      <c r="F1875" s="1"/>
      <c r="G1875" s="98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5.75" customHeight="1" x14ac:dyDescent="0.25">
      <c r="A1876" s="1"/>
      <c r="B1876" s="100"/>
      <c r="C1876" s="22"/>
      <c r="D1876" s="1"/>
      <c r="E1876" s="1"/>
      <c r="F1876" s="1"/>
      <c r="G1876" s="98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5.75" customHeight="1" x14ac:dyDescent="0.25">
      <c r="A1877" s="1"/>
      <c r="B1877" s="100"/>
      <c r="C1877" s="22"/>
      <c r="D1877" s="1"/>
      <c r="E1877" s="1"/>
      <c r="F1877" s="1"/>
      <c r="G1877" s="98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5.75" customHeight="1" x14ac:dyDescent="0.25">
      <c r="A1878" s="1"/>
      <c r="B1878" s="100"/>
      <c r="C1878" s="22"/>
      <c r="D1878" s="1"/>
      <c r="E1878" s="1"/>
      <c r="F1878" s="1"/>
      <c r="G1878" s="98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5.75" customHeight="1" x14ac:dyDescent="0.25">
      <c r="A1879" s="1"/>
      <c r="B1879" s="100"/>
      <c r="C1879" s="22"/>
      <c r="D1879" s="1"/>
      <c r="E1879" s="1"/>
      <c r="F1879" s="1"/>
      <c r="G1879" s="98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5.75" customHeight="1" x14ac:dyDescent="0.25">
      <c r="A1880" s="1"/>
      <c r="B1880" s="100"/>
      <c r="C1880" s="22"/>
      <c r="D1880" s="1"/>
      <c r="E1880" s="1"/>
      <c r="F1880" s="1"/>
      <c r="G1880" s="98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5.75" customHeight="1" x14ac:dyDescent="0.25">
      <c r="A1881" s="1"/>
      <c r="B1881" s="100"/>
      <c r="C1881" s="22"/>
      <c r="D1881" s="1"/>
      <c r="E1881" s="1"/>
      <c r="F1881" s="1"/>
      <c r="G1881" s="98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5.75" customHeight="1" x14ac:dyDescent="0.25">
      <c r="A1882" s="1"/>
      <c r="B1882" s="100"/>
      <c r="C1882" s="22"/>
      <c r="D1882" s="1"/>
      <c r="E1882" s="1"/>
      <c r="F1882" s="1"/>
      <c r="G1882" s="98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5.75" customHeight="1" x14ac:dyDescent="0.25">
      <c r="A1883" s="1"/>
      <c r="B1883" s="100"/>
      <c r="C1883" s="22"/>
      <c r="D1883" s="1"/>
      <c r="E1883" s="1"/>
      <c r="F1883" s="1"/>
      <c r="G1883" s="98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5.75" customHeight="1" x14ac:dyDescent="0.25">
      <c r="A1884" s="1"/>
      <c r="B1884" s="100"/>
      <c r="C1884" s="22"/>
      <c r="D1884" s="1"/>
      <c r="E1884" s="1"/>
      <c r="F1884" s="1"/>
      <c r="G1884" s="98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5.75" customHeight="1" x14ac:dyDescent="0.25">
      <c r="A1885" s="1"/>
      <c r="B1885" s="100"/>
      <c r="C1885" s="22"/>
      <c r="D1885" s="1"/>
      <c r="E1885" s="1"/>
      <c r="F1885" s="1"/>
      <c r="G1885" s="98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5.75" customHeight="1" x14ac:dyDescent="0.25">
      <c r="A1886" s="1"/>
      <c r="B1886" s="100"/>
      <c r="C1886" s="22"/>
      <c r="D1886" s="1"/>
      <c r="E1886" s="1"/>
      <c r="F1886" s="1"/>
      <c r="G1886" s="98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5.75" customHeight="1" x14ac:dyDescent="0.25">
      <c r="A1887" s="1"/>
      <c r="B1887" s="100"/>
      <c r="C1887" s="22"/>
      <c r="D1887" s="1"/>
      <c r="E1887" s="1"/>
      <c r="F1887" s="1"/>
      <c r="G1887" s="98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5.75" customHeight="1" x14ac:dyDescent="0.25">
      <c r="A1888" s="1"/>
      <c r="B1888" s="100"/>
      <c r="C1888" s="22"/>
      <c r="D1888" s="1"/>
      <c r="E1888" s="1"/>
      <c r="F1888" s="1"/>
      <c r="G1888" s="98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5.75" customHeight="1" x14ac:dyDescent="0.25">
      <c r="A1889" s="1"/>
      <c r="B1889" s="100"/>
      <c r="C1889" s="22"/>
      <c r="D1889" s="1"/>
      <c r="E1889" s="1"/>
      <c r="F1889" s="1"/>
      <c r="G1889" s="98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5.75" customHeight="1" x14ac:dyDescent="0.25">
      <c r="A1890" s="1"/>
      <c r="B1890" s="100"/>
      <c r="C1890" s="22"/>
      <c r="D1890" s="1"/>
      <c r="E1890" s="1"/>
      <c r="F1890" s="1"/>
      <c r="G1890" s="98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5.75" customHeight="1" x14ac:dyDescent="0.25">
      <c r="A1891" s="1"/>
      <c r="B1891" s="100"/>
      <c r="C1891" s="22"/>
      <c r="D1891" s="1"/>
      <c r="E1891" s="1"/>
      <c r="F1891" s="1"/>
      <c r="G1891" s="98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5.75" customHeight="1" x14ac:dyDescent="0.25">
      <c r="A1892" s="1"/>
      <c r="B1892" s="100"/>
      <c r="C1892" s="22"/>
      <c r="D1892" s="1"/>
      <c r="E1892" s="1"/>
      <c r="F1892" s="1"/>
      <c r="G1892" s="98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5.75" customHeight="1" x14ac:dyDescent="0.25">
      <c r="A1893" s="1"/>
      <c r="B1893" s="100"/>
      <c r="C1893" s="22"/>
      <c r="D1893" s="1"/>
      <c r="E1893" s="1"/>
      <c r="F1893" s="1"/>
      <c r="G1893" s="98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5.75" customHeight="1" x14ac:dyDescent="0.25">
      <c r="A1894" s="1"/>
      <c r="B1894" s="100"/>
      <c r="C1894" s="22"/>
      <c r="D1894" s="1"/>
      <c r="E1894" s="1"/>
      <c r="F1894" s="1"/>
      <c r="G1894" s="98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5.75" customHeight="1" x14ac:dyDescent="0.25">
      <c r="A1895" s="1"/>
      <c r="B1895" s="100"/>
      <c r="C1895" s="22"/>
      <c r="D1895" s="1"/>
      <c r="E1895" s="1"/>
      <c r="F1895" s="1"/>
      <c r="G1895" s="98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5.75" customHeight="1" x14ac:dyDescent="0.25">
      <c r="A1896" s="1"/>
      <c r="B1896" s="100"/>
      <c r="C1896" s="22"/>
      <c r="D1896" s="1"/>
      <c r="E1896" s="1"/>
      <c r="F1896" s="1"/>
      <c r="G1896" s="98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5.75" customHeight="1" x14ac:dyDescent="0.25">
      <c r="A1897" s="1"/>
      <c r="B1897" s="100"/>
      <c r="C1897" s="22"/>
      <c r="D1897" s="1"/>
      <c r="E1897" s="1"/>
      <c r="F1897" s="1"/>
      <c r="G1897" s="98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5.75" customHeight="1" x14ac:dyDescent="0.25">
      <c r="A1898" s="1"/>
      <c r="B1898" s="100"/>
      <c r="C1898" s="22"/>
      <c r="D1898" s="1"/>
      <c r="E1898" s="1"/>
      <c r="F1898" s="1"/>
      <c r="G1898" s="98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5.75" customHeight="1" x14ac:dyDescent="0.25">
      <c r="A1899" s="1"/>
      <c r="B1899" s="100"/>
      <c r="C1899" s="22"/>
      <c r="D1899" s="1"/>
      <c r="E1899" s="1"/>
      <c r="F1899" s="1"/>
      <c r="G1899" s="98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5.75" customHeight="1" x14ac:dyDescent="0.25">
      <c r="A1900" s="1"/>
      <c r="B1900" s="100"/>
      <c r="C1900" s="22"/>
      <c r="D1900" s="1"/>
      <c r="E1900" s="1"/>
      <c r="F1900" s="1"/>
      <c r="G1900" s="98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5.75" customHeight="1" x14ac:dyDescent="0.25">
      <c r="A1901" s="1"/>
      <c r="B1901" s="100"/>
      <c r="C1901" s="22"/>
      <c r="D1901" s="1"/>
      <c r="E1901" s="1"/>
      <c r="F1901" s="1"/>
      <c r="G1901" s="98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5.75" customHeight="1" x14ac:dyDescent="0.25">
      <c r="A1902" s="1"/>
      <c r="B1902" s="100"/>
      <c r="C1902" s="22"/>
      <c r="D1902" s="1"/>
      <c r="E1902" s="1"/>
      <c r="F1902" s="1"/>
      <c r="G1902" s="98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5.75" customHeight="1" x14ac:dyDescent="0.25">
      <c r="A1903" s="1"/>
      <c r="B1903" s="100"/>
      <c r="C1903" s="22"/>
      <c r="D1903" s="1"/>
      <c r="E1903" s="1"/>
      <c r="F1903" s="1"/>
      <c r="G1903" s="98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5.75" customHeight="1" x14ac:dyDescent="0.25">
      <c r="A1904" s="1"/>
      <c r="B1904" s="100"/>
      <c r="C1904" s="22"/>
      <c r="D1904" s="1"/>
      <c r="E1904" s="1"/>
      <c r="F1904" s="1"/>
      <c r="G1904" s="98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5.75" customHeight="1" x14ac:dyDescent="0.25">
      <c r="A1905" s="1"/>
      <c r="B1905" s="100"/>
      <c r="C1905" s="22"/>
      <c r="D1905" s="1"/>
      <c r="E1905" s="1"/>
      <c r="F1905" s="1"/>
      <c r="G1905" s="98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5.75" customHeight="1" x14ac:dyDescent="0.25">
      <c r="A1906" s="1"/>
      <c r="B1906" s="100"/>
      <c r="C1906" s="22"/>
      <c r="D1906" s="1"/>
      <c r="E1906" s="1"/>
      <c r="F1906" s="1"/>
      <c r="G1906" s="98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5.75" customHeight="1" x14ac:dyDescent="0.25">
      <c r="A1907" s="1"/>
      <c r="B1907" s="100"/>
      <c r="C1907" s="22"/>
      <c r="D1907" s="1"/>
      <c r="E1907" s="1"/>
      <c r="F1907" s="1"/>
      <c r="G1907" s="98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5.75" customHeight="1" x14ac:dyDescent="0.25">
      <c r="A1908" s="1"/>
      <c r="B1908" s="100"/>
      <c r="C1908" s="22"/>
      <c r="D1908" s="1"/>
      <c r="E1908" s="1"/>
      <c r="F1908" s="1"/>
      <c r="G1908" s="98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5.75" customHeight="1" x14ac:dyDescent="0.25">
      <c r="A1909" s="1"/>
      <c r="B1909" s="100"/>
      <c r="C1909" s="22"/>
      <c r="D1909" s="1"/>
      <c r="E1909" s="1"/>
      <c r="F1909" s="1"/>
      <c r="G1909" s="98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5.75" customHeight="1" x14ac:dyDescent="0.25">
      <c r="A1910" s="1"/>
      <c r="B1910" s="100"/>
      <c r="C1910" s="22"/>
      <c r="D1910" s="1"/>
      <c r="E1910" s="1"/>
      <c r="F1910" s="1"/>
      <c r="G1910" s="98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5.75" customHeight="1" x14ac:dyDescent="0.25">
      <c r="A1911" s="1"/>
      <c r="B1911" s="100"/>
      <c r="C1911" s="22"/>
      <c r="D1911" s="1"/>
      <c r="E1911" s="1"/>
      <c r="F1911" s="1"/>
      <c r="G1911" s="98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5.75" customHeight="1" x14ac:dyDescent="0.25">
      <c r="A1912" s="1"/>
      <c r="B1912" s="100"/>
      <c r="C1912" s="22"/>
      <c r="D1912" s="1"/>
      <c r="E1912" s="1"/>
      <c r="F1912" s="1"/>
      <c r="G1912" s="98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5.75" customHeight="1" x14ac:dyDescent="0.25">
      <c r="A1913" s="1"/>
      <c r="B1913" s="100"/>
      <c r="C1913" s="22"/>
      <c r="D1913" s="1"/>
      <c r="E1913" s="1"/>
      <c r="F1913" s="1"/>
      <c r="G1913" s="98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5.75" customHeight="1" x14ac:dyDescent="0.25">
      <c r="A1914" s="1"/>
      <c r="B1914" s="100"/>
      <c r="C1914" s="22"/>
      <c r="D1914" s="1"/>
      <c r="E1914" s="1"/>
      <c r="F1914" s="1"/>
      <c r="G1914" s="98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5.75" customHeight="1" x14ac:dyDescent="0.25">
      <c r="A1915" s="1"/>
      <c r="B1915" s="100"/>
      <c r="C1915" s="22"/>
      <c r="D1915" s="1"/>
      <c r="E1915" s="1"/>
      <c r="F1915" s="1"/>
      <c r="G1915" s="98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5.75" customHeight="1" x14ac:dyDescent="0.25">
      <c r="A1916" s="1"/>
      <c r="B1916" s="100"/>
      <c r="C1916" s="22"/>
      <c r="D1916" s="1"/>
      <c r="E1916" s="1"/>
      <c r="F1916" s="1"/>
      <c r="G1916" s="98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5.75" customHeight="1" x14ac:dyDescent="0.25">
      <c r="A1917" s="1"/>
      <c r="B1917" s="100"/>
      <c r="C1917" s="22"/>
      <c r="D1917" s="1"/>
      <c r="E1917" s="1"/>
      <c r="F1917" s="1"/>
      <c r="G1917" s="98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5.75" customHeight="1" x14ac:dyDescent="0.25">
      <c r="A1918" s="1"/>
      <c r="B1918" s="100"/>
      <c r="C1918" s="22"/>
      <c r="D1918" s="1"/>
      <c r="E1918" s="1"/>
      <c r="F1918" s="1"/>
      <c r="G1918" s="98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5.75" customHeight="1" x14ac:dyDescent="0.25">
      <c r="A1919" s="1"/>
      <c r="B1919" s="100"/>
      <c r="C1919" s="22"/>
      <c r="D1919" s="1"/>
      <c r="E1919" s="1"/>
      <c r="F1919" s="1"/>
      <c r="G1919" s="98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5.75" customHeight="1" x14ac:dyDescent="0.25">
      <c r="A1920" s="1"/>
      <c r="B1920" s="100"/>
      <c r="C1920" s="22"/>
      <c r="D1920" s="1"/>
      <c r="E1920" s="1"/>
      <c r="F1920" s="1"/>
      <c r="G1920" s="98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5.75" customHeight="1" x14ac:dyDescent="0.25">
      <c r="A1921" s="1"/>
      <c r="B1921" s="100"/>
      <c r="C1921" s="22"/>
      <c r="D1921" s="1"/>
      <c r="E1921" s="1"/>
      <c r="F1921" s="1"/>
      <c r="G1921" s="98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5.75" customHeight="1" x14ac:dyDescent="0.25">
      <c r="A1922" s="1"/>
      <c r="B1922" s="100"/>
      <c r="C1922" s="22"/>
      <c r="D1922" s="1"/>
      <c r="E1922" s="1"/>
      <c r="F1922" s="1"/>
      <c r="G1922" s="98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5.75" customHeight="1" x14ac:dyDescent="0.25">
      <c r="A1923" s="1"/>
      <c r="B1923" s="100"/>
      <c r="C1923" s="22"/>
      <c r="D1923" s="1"/>
      <c r="E1923" s="1"/>
      <c r="F1923" s="1"/>
      <c r="G1923" s="98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5.75" customHeight="1" x14ac:dyDescent="0.25">
      <c r="A1924" s="1"/>
      <c r="B1924" s="100"/>
      <c r="C1924" s="22"/>
      <c r="D1924" s="1"/>
      <c r="E1924" s="1"/>
      <c r="F1924" s="1"/>
      <c r="G1924" s="98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5.75" customHeight="1" x14ac:dyDescent="0.25">
      <c r="A1925" s="1"/>
      <c r="B1925" s="100"/>
      <c r="C1925" s="22"/>
      <c r="D1925" s="1"/>
      <c r="E1925" s="1"/>
      <c r="F1925" s="1"/>
      <c r="G1925" s="98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5.75" customHeight="1" x14ac:dyDescent="0.25">
      <c r="A1926" s="1"/>
      <c r="B1926" s="100"/>
      <c r="C1926" s="22"/>
      <c r="D1926" s="1"/>
      <c r="E1926" s="1"/>
      <c r="F1926" s="1"/>
      <c r="G1926" s="98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5.75" customHeight="1" x14ac:dyDescent="0.25">
      <c r="A1927" s="1"/>
      <c r="B1927" s="100"/>
      <c r="C1927" s="22"/>
      <c r="D1927" s="1"/>
      <c r="E1927" s="1"/>
      <c r="F1927" s="1"/>
      <c r="G1927" s="98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5.75" customHeight="1" x14ac:dyDescent="0.25">
      <c r="A1928" s="1"/>
      <c r="B1928" s="100"/>
      <c r="C1928" s="22"/>
      <c r="D1928" s="1"/>
      <c r="E1928" s="1"/>
      <c r="F1928" s="1"/>
      <c r="G1928" s="98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5.75" customHeight="1" x14ac:dyDescent="0.25">
      <c r="A1929" s="1"/>
      <c r="B1929" s="100"/>
      <c r="C1929" s="22"/>
      <c r="D1929" s="1"/>
      <c r="E1929" s="1"/>
      <c r="F1929" s="1"/>
      <c r="G1929" s="98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5.75" customHeight="1" x14ac:dyDescent="0.25">
      <c r="A1930" s="1"/>
      <c r="B1930" s="100"/>
      <c r="C1930" s="22"/>
      <c r="D1930" s="1"/>
      <c r="E1930" s="1"/>
      <c r="F1930" s="1"/>
      <c r="G1930" s="98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5.75" customHeight="1" x14ac:dyDescent="0.25">
      <c r="A1931" s="1"/>
      <c r="B1931" s="100"/>
      <c r="C1931" s="22"/>
      <c r="D1931" s="1"/>
      <c r="E1931" s="1"/>
      <c r="F1931" s="1"/>
      <c r="G1931" s="98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5.75" customHeight="1" x14ac:dyDescent="0.25">
      <c r="A1932" s="1"/>
      <c r="B1932" s="100"/>
      <c r="C1932" s="22"/>
      <c r="D1932" s="1"/>
      <c r="E1932" s="1"/>
      <c r="F1932" s="1"/>
      <c r="G1932" s="98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5.75" customHeight="1" x14ac:dyDescent="0.25">
      <c r="A1933" s="1"/>
      <c r="B1933" s="100"/>
      <c r="C1933" s="22"/>
      <c r="D1933" s="1"/>
      <c r="E1933" s="1"/>
      <c r="F1933" s="1"/>
      <c r="G1933" s="98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5.75" customHeight="1" x14ac:dyDescent="0.25">
      <c r="A1934" s="1"/>
      <c r="B1934" s="100"/>
      <c r="C1934" s="22"/>
      <c r="D1934" s="1"/>
      <c r="E1934" s="1"/>
      <c r="F1934" s="1"/>
      <c r="G1934" s="98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5.75" customHeight="1" x14ac:dyDescent="0.25">
      <c r="A1935" s="1"/>
      <c r="B1935" s="100"/>
      <c r="C1935" s="22"/>
      <c r="D1935" s="1"/>
      <c r="E1935" s="1"/>
      <c r="F1935" s="1"/>
      <c r="G1935" s="98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5.75" customHeight="1" x14ac:dyDescent="0.25">
      <c r="A1936" s="1"/>
      <c r="B1936" s="100"/>
      <c r="C1936" s="22"/>
      <c r="D1936" s="1"/>
      <c r="E1936" s="1"/>
      <c r="F1936" s="1"/>
      <c r="G1936" s="98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5.75" customHeight="1" x14ac:dyDescent="0.25">
      <c r="A1937" s="1"/>
      <c r="B1937" s="100"/>
      <c r="C1937" s="22"/>
      <c r="D1937" s="1"/>
      <c r="E1937" s="1"/>
      <c r="F1937" s="1"/>
      <c r="G1937" s="98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5.75" customHeight="1" x14ac:dyDescent="0.25">
      <c r="A1938" s="1"/>
      <c r="B1938" s="100"/>
      <c r="C1938" s="22"/>
      <c r="D1938" s="1"/>
      <c r="E1938" s="1"/>
      <c r="F1938" s="1"/>
      <c r="G1938" s="98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5.75" customHeight="1" x14ac:dyDescent="0.25">
      <c r="A1939" s="1"/>
      <c r="B1939" s="100"/>
      <c r="C1939" s="22"/>
      <c r="D1939" s="1"/>
      <c r="E1939" s="1"/>
      <c r="F1939" s="1"/>
      <c r="G1939" s="98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5.75" customHeight="1" x14ac:dyDescent="0.25">
      <c r="A1940" s="1"/>
      <c r="B1940" s="100"/>
      <c r="C1940" s="22"/>
      <c r="D1940" s="1"/>
      <c r="E1940" s="1"/>
      <c r="F1940" s="1"/>
      <c r="G1940" s="98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5.75" customHeight="1" x14ac:dyDescent="0.25">
      <c r="A1941" s="1"/>
      <c r="B1941" s="100"/>
      <c r="C1941" s="22"/>
      <c r="D1941" s="1"/>
      <c r="E1941" s="1"/>
      <c r="F1941" s="1"/>
      <c r="G1941" s="98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5.75" customHeight="1" x14ac:dyDescent="0.25">
      <c r="A1942" s="1"/>
      <c r="B1942" s="100"/>
      <c r="C1942" s="22"/>
      <c r="D1942" s="1"/>
      <c r="E1942" s="1"/>
      <c r="F1942" s="1"/>
      <c r="G1942" s="98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5.75" customHeight="1" x14ac:dyDescent="0.25">
      <c r="A1943" s="1"/>
      <c r="B1943" s="100"/>
      <c r="C1943" s="22"/>
      <c r="D1943" s="1"/>
      <c r="E1943" s="1"/>
      <c r="F1943" s="1"/>
      <c r="G1943" s="98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5.75" customHeight="1" x14ac:dyDescent="0.25">
      <c r="A1944" s="1"/>
      <c r="B1944" s="100"/>
      <c r="C1944" s="22"/>
      <c r="D1944" s="1"/>
      <c r="E1944" s="1"/>
      <c r="F1944" s="1"/>
      <c r="G1944" s="98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5.75" customHeight="1" x14ac:dyDescent="0.25">
      <c r="A1945" s="1"/>
      <c r="B1945" s="100"/>
      <c r="C1945" s="22"/>
      <c r="D1945" s="1"/>
      <c r="E1945" s="1"/>
      <c r="F1945" s="1"/>
      <c r="G1945" s="98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5.75" customHeight="1" x14ac:dyDescent="0.25">
      <c r="A1946" s="1"/>
      <c r="B1946" s="100"/>
      <c r="C1946" s="22"/>
      <c r="D1946" s="1"/>
      <c r="E1946" s="1"/>
      <c r="F1946" s="1"/>
      <c r="G1946" s="98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5.75" customHeight="1" x14ac:dyDescent="0.25">
      <c r="A1947" s="1"/>
      <c r="B1947" s="100"/>
      <c r="C1947" s="22"/>
      <c r="D1947" s="1"/>
      <c r="E1947" s="1"/>
      <c r="F1947" s="1"/>
      <c r="G1947" s="98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5.75" customHeight="1" x14ac:dyDescent="0.25">
      <c r="A1948" s="1"/>
      <c r="B1948" s="100"/>
      <c r="C1948" s="22"/>
      <c r="D1948" s="1"/>
      <c r="E1948" s="1"/>
      <c r="F1948" s="1"/>
      <c r="G1948" s="98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5.75" customHeight="1" x14ac:dyDescent="0.25">
      <c r="A1949" s="1"/>
      <c r="B1949" s="100"/>
      <c r="C1949" s="22"/>
      <c r="D1949" s="1"/>
      <c r="E1949" s="1"/>
      <c r="F1949" s="1"/>
      <c r="G1949" s="98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5.75" customHeight="1" x14ac:dyDescent="0.25">
      <c r="A1950" s="1"/>
      <c r="B1950" s="100"/>
      <c r="C1950" s="22"/>
      <c r="D1950" s="1"/>
      <c r="E1950" s="1"/>
      <c r="F1950" s="1"/>
      <c r="G1950" s="98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5.75" customHeight="1" x14ac:dyDescent="0.25">
      <c r="A1951" s="1"/>
      <c r="B1951" s="100"/>
      <c r="C1951" s="22"/>
      <c r="D1951" s="1"/>
      <c r="E1951" s="1"/>
      <c r="F1951" s="1"/>
      <c r="G1951" s="98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5.75" customHeight="1" x14ac:dyDescent="0.25">
      <c r="A1952" s="1"/>
      <c r="B1952" s="100"/>
      <c r="C1952" s="22"/>
      <c r="D1952" s="1"/>
      <c r="E1952" s="1"/>
      <c r="F1952" s="1"/>
      <c r="G1952" s="98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5.75" customHeight="1" x14ac:dyDescent="0.25">
      <c r="A1953" s="1"/>
      <c r="B1953" s="100"/>
      <c r="C1953" s="22"/>
      <c r="D1953" s="1"/>
      <c r="E1953" s="1"/>
      <c r="F1953" s="1"/>
      <c r="G1953" s="98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5.75" customHeight="1" x14ac:dyDescent="0.25">
      <c r="A1954" s="1"/>
      <c r="B1954" s="100"/>
      <c r="C1954" s="22"/>
      <c r="D1954" s="1"/>
      <c r="E1954" s="1"/>
      <c r="F1954" s="1"/>
      <c r="G1954" s="98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5.75" customHeight="1" x14ac:dyDescent="0.25">
      <c r="A1955" s="1"/>
      <c r="B1955" s="100"/>
      <c r="C1955" s="22"/>
      <c r="D1955" s="1"/>
      <c r="E1955" s="1"/>
      <c r="F1955" s="1"/>
      <c r="G1955" s="98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5.75" customHeight="1" x14ac:dyDescent="0.25">
      <c r="A1956" s="1"/>
      <c r="B1956" s="100"/>
      <c r="C1956" s="22"/>
      <c r="D1956" s="1"/>
      <c r="E1956" s="1"/>
      <c r="F1956" s="1"/>
      <c r="G1956" s="98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5.75" customHeight="1" x14ac:dyDescent="0.25">
      <c r="A1957" s="1"/>
      <c r="B1957" s="100"/>
      <c r="C1957" s="22"/>
      <c r="D1957" s="1"/>
      <c r="E1957" s="1"/>
      <c r="F1957" s="1"/>
      <c r="G1957" s="98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5.75" customHeight="1" x14ac:dyDescent="0.25">
      <c r="A1958" s="1"/>
      <c r="B1958" s="100"/>
      <c r="C1958" s="22"/>
      <c r="D1958" s="1"/>
      <c r="E1958" s="1"/>
      <c r="F1958" s="1"/>
      <c r="G1958" s="98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5.75" customHeight="1" x14ac:dyDescent="0.25">
      <c r="A1959" s="1"/>
      <c r="B1959" s="100"/>
      <c r="C1959" s="22"/>
      <c r="D1959" s="1"/>
      <c r="E1959" s="1"/>
      <c r="F1959" s="1"/>
      <c r="G1959" s="98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5.75" customHeight="1" x14ac:dyDescent="0.25">
      <c r="A1960" s="1"/>
      <c r="B1960" s="100"/>
      <c r="C1960" s="22"/>
      <c r="D1960" s="1"/>
      <c r="E1960" s="1"/>
      <c r="F1960" s="1"/>
      <c r="G1960" s="98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5.75" customHeight="1" x14ac:dyDescent="0.25">
      <c r="A1961" s="1"/>
      <c r="B1961" s="100"/>
      <c r="C1961" s="22"/>
      <c r="D1961" s="1"/>
      <c r="E1961" s="1"/>
      <c r="F1961" s="1"/>
      <c r="G1961" s="98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5.75" customHeight="1" x14ac:dyDescent="0.25">
      <c r="A1962" s="1"/>
      <c r="B1962" s="100"/>
      <c r="C1962" s="22"/>
      <c r="D1962" s="1"/>
      <c r="E1962" s="1"/>
      <c r="F1962" s="1"/>
      <c r="G1962" s="98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5.75" customHeight="1" x14ac:dyDescent="0.25">
      <c r="A1963" s="1"/>
      <c r="B1963" s="100"/>
      <c r="C1963" s="22"/>
      <c r="D1963" s="1"/>
      <c r="E1963" s="1"/>
      <c r="F1963" s="1"/>
      <c r="G1963" s="98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5.75" customHeight="1" x14ac:dyDescent="0.25">
      <c r="A1964" s="1"/>
      <c r="B1964" s="100"/>
      <c r="C1964" s="22"/>
      <c r="D1964" s="1"/>
      <c r="E1964" s="1"/>
      <c r="F1964" s="1"/>
      <c r="G1964" s="98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5.75" customHeight="1" x14ac:dyDescent="0.25">
      <c r="A1965" s="1"/>
      <c r="B1965" s="100"/>
      <c r="C1965" s="22"/>
      <c r="D1965" s="1"/>
      <c r="E1965" s="1"/>
      <c r="F1965" s="1"/>
      <c r="G1965" s="98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5.75" customHeight="1" x14ac:dyDescent="0.25">
      <c r="A1966" s="1"/>
      <c r="B1966" s="100"/>
      <c r="C1966" s="22"/>
      <c r="D1966" s="1"/>
      <c r="E1966" s="1"/>
      <c r="F1966" s="1"/>
      <c r="G1966" s="98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5.75" customHeight="1" x14ac:dyDescent="0.25">
      <c r="A1967" s="1"/>
      <c r="B1967" s="100"/>
      <c r="C1967" s="22"/>
      <c r="D1967" s="1"/>
      <c r="E1967" s="1"/>
      <c r="F1967" s="1"/>
      <c r="G1967" s="98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5.75" customHeight="1" x14ac:dyDescent="0.25">
      <c r="A1968" s="1"/>
      <c r="B1968" s="100"/>
      <c r="C1968" s="22"/>
      <c r="D1968" s="1"/>
      <c r="E1968" s="1"/>
      <c r="F1968" s="1"/>
      <c r="G1968" s="98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5.75" customHeight="1" x14ac:dyDescent="0.25">
      <c r="A1969" s="1"/>
      <c r="B1969" s="100"/>
      <c r="C1969" s="22"/>
      <c r="D1969" s="1"/>
      <c r="E1969" s="1"/>
      <c r="F1969" s="1"/>
      <c r="G1969" s="98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5.75" customHeight="1" x14ac:dyDescent="0.25">
      <c r="A1970" s="1"/>
      <c r="B1970" s="100"/>
      <c r="C1970" s="22"/>
      <c r="D1970" s="1"/>
      <c r="E1970" s="1"/>
      <c r="F1970" s="1"/>
      <c r="G1970" s="98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5.75" customHeight="1" x14ac:dyDescent="0.25">
      <c r="A1971" s="1"/>
      <c r="B1971" s="100"/>
      <c r="C1971" s="22"/>
      <c r="D1971" s="1"/>
      <c r="E1971" s="1"/>
      <c r="F1971" s="1"/>
      <c r="G1971" s="98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5.75" customHeight="1" x14ac:dyDescent="0.25">
      <c r="A1972" s="1"/>
      <c r="B1972" s="100"/>
      <c r="C1972" s="22"/>
      <c r="D1972" s="1"/>
      <c r="E1972" s="1"/>
      <c r="F1972" s="1"/>
      <c r="G1972" s="98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5.75" customHeight="1" x14ac:dyDescent="0.25">
      <c r="A1973" s="1"/>
      <c r="B1973" s="100"/>
      <c r="C1973" s="22"/>
      <c r="D1973" s="1"/>
      <c r="E1973" s="1"/>
      <c r="F1973" s="1"/>
      <c r="G1973" s="98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5.75" customHeight="1" x14ac:dyDescent="0.25">
      <c r="A1974" s="1"/>
      <c r="B1974" s="100"/>
      <c r="C1974" s="22"/>
      <c r="D1974" s="1"/>
      <c r="E1974" s="1"/>
      <c r="F1974" s="1"/>
      <c r="G1974" s="98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5.75" customHeight="1" x14ac:dyDescent="0.25">
      <c r="A1975" s="1"/>
      <c r="B1975" s="100"/>
      <c r="C1975" s="22"/>
      <c r="D1975" s="1"/>
      <c r="E1975" s="1"/>
      <c r="F1975" s="1"/>
      <c r="G1975" s="98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5.75" customHeight="1" x14ac:dyDescent="0.25">
      <c r="A1976" s="1"/>
      <c r="B1976" s="100"/>
      <c r="C1976" s="22"/>
      <c r="D1976" s="1"/>
      <c r="E1976" s="1"/>
      <c r="F1976" s="1"/>
      <c r="G1976" s="98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5.75" customHeight="1" x14ac:dyDescent="0.25">
      <c r="A1977" s="1"/>
      <c r="B1977" s="100"/>
      <c r="C1977" s="22"/>
      <c r="D1977" s="1"/>
      <c r="E1977" s="1"/>
      <c r="F1977" s="1"/>
      <c r="G1977" s="98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5.75" customHeight="1" x14ac:dyDescent="0.25">
      <c r="A1978" s="1"/>
      <c r="B1978" s="100"/>
      <c r="C1978" s="22"/>
      <c r="D1978" s="1"/>
      <c r="E1978" s="1"/>
      <c r="F1978" s="1"/>
      <c r="G1978" s="98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5.75" customHeight="1" x14ac:dyDescent="0.25">
      <c r="A1979" s="1"/>
      <c r="B1979" s="100"/>
      <c r="C1979" s="22"/>
      <c r="D1979" s="1"/>
      <c r="E1979" s="1"/>
      <c r="F1979" s="1"/>
      <c r="G1979" s="98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5.75" customHeight="1" x14ac:dyDescent="0.25">
      <c r="A1980" s="1"/>
      <c r="B1980" s="100"/>
      <c r="C1980" s="22"/>
      <c r="D1980" s="1"/>
      <c r="E1980" s="1"/>
      <c r="F1980" s="1"/>
      <c r="G1980" s="98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5.75" customHeight="1" x14ac:dyDescent="0.25">
      <c r="A1981" s="1"/>
      <c r="B1981" s="100"/>
      <c r="C1981" s="22"/>
      <c r="D1981" s="1"/>
      <c r="E1981" s="1"/>
      <c r="F1981" s="1"/>
      <c r="G1981" s="98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5.75" customHeight="1" x14ac:dyDescent="0.25">
      <c r="A1982" s="1"/>
      <c r="B1982" s="100"/>
      <c r="C1982" s="22"/>
      <c r="D1982" s="1"/>
      <c r="E1982" s="1"/>
      <c r="F1982" s="1"/>
      <c r="G1982" s="98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5.75" customHeight="1" x14ac:dyDescent="0.25">
      <c r="A1983" s="1"/>
      <c r="B1983" s="100"/>
      <c r="C1983" s="22"/>
      <c r="D1983" s="1"/>
      <c r="E1983" s="1"/>
      <c r="F1983" s="1"/>
      <c r="G1983" s="98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5.75" customHeight="1" x14ac:dyDescent="0.25">
      <c r="A1984" s="1"/>
      <c r="B1984" s="100"/>
      <c r="C1984" s="22"/>
      <c r="D1984" s="1"/>
      <c r="E1984" s="1"/>
      <c r="F1984" s="1"/>
      <c r="G1984" s="98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5.75" customHeight="1" x14ac:dyDescent="0.25">
      <c r="A1985" s="1"/>
      <c r="B1985" s="100"/>
      <c r="C1985" s="22"/>
      <c r="D1985" s="1"/>
      <c r="E1985" s="1"/>
      <c r="F1985" s="1"/>
      <c r="G1985" s="98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5.75" customHeight="1" x14ac:dyDescent="0.25">
      <c r="A1986" s="1"/>
      <c r="B1986" s="100"/>
      <c r="C1986" s="22"/>
      <c r="D1986" s="1"/>
      <c r="E1986" s="1"/>
      <c r="F1986" s="1"/>
      <c r="G1986" s="98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5.75" customHeight="1" x14ac:dyDescent="0.25">
      <c r="A1987" s="1"/>
      <c r="B1987" s="100"/>
      <c r="C1987" s="22"/>
      <c r="D1987" s="1"/>
      <c r="E1987" s="1"/>
      <c r="F1987" s="1"/>
      <c r="G1987" s="98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5.75" customHeight="1" x14ac:dyDescent="0.25">
      <c r="A1988" s="1"/>
      <c r="B1988" s="100"/>
      <c r="C1988" s="22"/>
      <c r="D1988" s="1"/>
      <c r="E1988" s="1"/>
      <c r="F1988" s="1"/>
      <c r="G1988" s="98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5.75" customHeight="1" x14ac:dyDescent="0.25">
      <c r="A1989" s="1"/>
      <c r="B1989" s="100"/>
      <c r="C1989" s="22"/>
      <c r="D1989" s="1"/>
      <c r="E1989" s="1"/>
      <c r="F1989" s="1"/>
      <c r="G1989" s="98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5.75" customHeight="1" x14ac:dyDescent="0.25">
      <c r="A1990" s="1"/>
      <c r="B1990" s="100"/>
      <c r="C1990" s="22"/>
      <c r="D1990" s="1"/>
      <c r="E1990" s="1"/>
      <c r="F1990" s="1"/>
      <c r="G1990" s="98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5.75" customHeight="1" x14ac:dyDescent="0.25">
      <c r="A1991" s="1"/>
      <c r="B1991" s="100"/>
      <c r="C1991" s="22"/>
      <c r="D1991" s="1"/>
      <c r="E1991" s="1"/>
      <c r="F1991" s="1"/>
      <c r="G1991" s="98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5.75" customHeight="1" x14ac:dyDescent="0.25">
      <c r="A1992" s="1"/>
      <c r="B1992" s="100"/>
      <c r="C1992" s="22"/>
      <c r="D1992" s="1"/>
      <c r="E1992" s="1"/>
      <c r="F1992" s="1"/>
      <c r="G1992" s="98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5.75" customHeight="1" x14ac:dyDescent="0.25">
      <c r="A1993" s="1"/>
      <c r="B1993" s="100"/>
      <c r="C1993" s="22"/>
      <c r="D1993" s="1"/>
      <c r="E1993" s="1"/>
      <c r="F1993" s="1"/>
      <c r="G1993" s="98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5.75" customHeight="1" x14ac:dyDescent="0.25">
      <c r="A1994" s="1"/>
      <c r="B1994" s="100"/>
      <c r="C1994" s="22"/>
      <c r="D1994" s="1"/>
      <c r="E1994" s="1"/>
      <c r="F1994" s="1"/>
      <c r="G1994" s="98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5.75" customHeight="1" x14ac:dyDescent="0.25">
      <c r="A1995" s="1"/>
      <c r="B1995" s="100"/>
      <c r="C1995" s="22"/>
      <c r="D1995" s="1"/>
      <c r="E1995" s="1"/>
      <c r="F1995" s="1"/>
      <c r="G1995" s="98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5.75" customHeight="1" x14ac:dyDescent="0.25">
      <c r="A1996" s="1"/>
      <c r="B1996" s="100"/>
      <c r="C1996" s="22"/>
      <c r="D1996" s="1"/>
      <c r="E1996" s="1"/>
      <c r="F1996" s="1"/>
      <c r="G1996" s="98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5.75" customHeight="1" x14ac:dyDescent="0.25">
      <c r="A1997" s="1"/>
      <c r="B1997" s="100"/>
      <c r="C1997" s="22"/>
      <c r="D1997" s="1"/>
      <c r="E1997" s="1"/>
      <c r="F1997" s="1"/>
      <c r="G1997" s="98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5.75" customHeight="1" x14ac:dyDescent="0.25">
      <c r="A1998" s="1"/>
      <c r="B1998" s="100"/>
      <c r="C1998" s="22"/>
      <c r="D1998" s="1"/>
      <c r="E1998" s="1"/>
      <c r="F1998" s="1"/>
      <c r="G1998" s="98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5.75" customHeight="1" x14ac:dyDescent="0.25">
      <c r="A1999" s="1"/>
      <c r="B1999" s="100"/>
      <c r="C1999" s="22"/>
      <c r="D1999" s="1"/>
      <c r="E1999" s="1"/>
      <c r="F1999" s="1"/>
      <c r="G1999" s="98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5.75" customHeight="1" x14ac:dyDescent="0.25">
      <c r="A2000" s="1"/>
      <c r="B2000" s="100"/>
      <c r="C2000" s="22"/>
      <c r="D2000" s="1"/>
      <c r="E2000" s="1"/>
      <c r="F2000" s="1"/>
      <c r="G2000" s="98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</sheetData>
  <dataConsolidate/>
  <mergeCells count="1">
    <mergeCell ref="A1:L1"/>
  </mergeCells>
  <conditionalFormatting sqref="D4:E28">
    <cfRule type="colorScale" priority="19">
      <colorScale>
        <cfvo type="percentile" val="25"/>
        <cfvo type="percentile" val="70"/>
        <cfvo type="percentile" val="99"/>
        <color rgb="FFD8F0E4"/>
        <color rgb="FFFFD666"/>
        <color rgb="FFFF0000"/>
      </colorScale>
    </cfRule>
    <cfRule type="top10" dxfId="0" priority="25" percent="1" rank="20"/>
  </conditionalFormatting>
  <conditionalFormatting sqref="F4:F29">
    <cfRule type="colorScale" priority="17">
      <colorScale>
        <cfvo type="min"/>
        <cfvo type="max"/>
        <color rgb="FFD8F0E4"/>
        <color rgb="FF5CF067"/>
      </colorScale>
    </cfRule>
  </conditionalFormatting>
  <conditionalFormatting sqref="H4:I28">
    <cfRule type="colorScale" priority="18">
      <colorScale>
        <cfvo type="percentile" val="25"/>
        <cfvo type="percentile" val="70"/>
        <cfvo type="percentile" val="99"/>
        <color rgb="FFD8F0E4"/>
        <color rgb="FFFFD666"/>
        <color rgb="FFFF0000"/>
      </colorScale>
    </cfRule>
  </conditionalFormatting>
  <conditionalFormatting sqref="J4:J28">
    <cfRule type="colorScale" priority="20">
      <colorScale>
        <cfvo type="min"/>
        <cfvo type="max"/>
        <color rgb="FFD8F0E4"/>
        <color rgb="FF5CF067"/>
      </colorScale>
    </cfRule>
  </conditionalFormatting>
  <conditionalFormatting sqref="K4:K28">
    <cfRule type="colorScale" priority="21">
      <colorScale>
        <cfvo type="min"/>
        <cfvo type="max"/>
        <color rgb="FFD8F0E4"/>
        <color rgb="FF5CF067"/>
      </colorScale>
    </cfRule>
  </conditionalFormatting>
  <conditionalFormatting sqref="L4:N28">
    <cfRule type="colorScale" priority="8">
      <colorScale>
        <cfvo type="min"/>
        <cfvo type="max"/>
        <color rgb="FFD8F0E4"/>
        <color rgb="FF5CF067"/>
      </colorScale>
    </cfRule>
  </conditionalFormatting>
  <conditionalFormatting sqref="L4:L28">
    <cfRule type="colorScale" priority="9">
      <colorScale>
        <cfvo type="min"/>
        <cfvo type="max"/>
        <color rgb="FFD8F0E4"/>
        <color rgb="FF5CF067"/>
      </colorScale>
    </cfRule>
  </conditionalFormatting>
  <conditionalFormatting sqref="M4:N28">
    <cfRule type="colorScale" priority="7">
      <colorScale>
        <cfvo type="min"/>
        <cfvo type="max"/>
        <color rgb="FFFCFCFF"/>
        <color rgb="FFF8696B"/>
      </colorScale>
    </cfRule>
  </conditionalFormatting>
  <conditionalFormatting sqref="M4:O2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F2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{8A71755E-8F70-491E-B9D4-C8B4BC215567}</x14:id>
        </ext>
      </extLst>
    </cfRule>
    <cfRule type="colorScale" priority="3">
      <colorScale>
        <cfvo type="min"/>
        <cfvo type="max"/>
        <color rgb="FFFCFCFF"/>
        <color rgb="FF63BE7B"/>
      </colorScale>
    </cfRule>
  </conditionalFormatting>
  <conditionalFormatting sqref="P4:Q28">
    <cfRule type="colorScale" priority="4">
      <colorScale>
        <cfvo type="percentile" val="0.1"/>
        <cfvo type="percentile" val="20"/>
        <color rgb="FFFFFFBD"/>
        <color rgb="FF00B050"/>
      </colorScale>
    </cfRule>
  </conditionalFormatting>
  <pageMargins left="0.7" right="0.7" top="0.75" bottom="0.75" header="0" footer="0"/>
  <pageSetup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9F123F8C-7717-4F93-AF07-00E5A24ACE9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1"/>
              <x14:cfIcon iconSet="3Symbols" iconId="2"/>
            </x14:iconSet>
          </x14:cfRule>
          <xm:sqref>F4:F29</xm:sqref>
        </x14:conditionalFormatting>
        <x14:conditionalFormatting xmlns:xm="http://schemas.microsoft.com/office/excel/2006/main">
          <x14:cfRule type="dataBar" id="{8A71755E-8F70-491E-B9D4-C8B4BC2155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F4:F28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6A5B00-E78C-4349-823B-9C7F9CEEFE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Yearly Pricing</vt:lpstr>
      <vt:lpstr>Dashboard</vt:lpstr>
      <vt:lpstr>Inputs</vt:lpstr>
      <vt:lpstr>Sheet3</vt:lpstr>
      <vt:lpstr>Presets</vt:lpstr>
      <vt:lpstr>Model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Thayer</cp:lastModifiedBy>
  <dcterms:created xsi:type="dcterms:W3CDTF">2026-01-24T22:12:28Z</dcterms:created>
  <dcterms:modified xsi:type="dcterms:W3CDTF">2026-02-05T16:09:56Z</dcterms:modified>
</cp:coreProperties>
</file>